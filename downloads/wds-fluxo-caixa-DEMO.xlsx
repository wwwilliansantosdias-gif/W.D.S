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23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ANÇAMENTOS" sheetId="3" state="visible" r:id="rId3"/>
    <sheet xmlns:r="http://schemas.openxmlformats.org/officeDocument/2006/relationships" name="CONTAS A PAGAR-RECEBER" sheetId="4" state="visible" r:id="rId4"/>
    <sheet xmlns:r="http://schemas.openxmlformats.org/officeDocument/2006/relationships" name="FLUXO DE CAIXA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RELATÓRIO" sheetId="7" state="visible" r:id="rId7"/>
    <sheet xmlns:r="http://schemas.openxmlformats.org/officeDocument/2006/relationships" name="DÚVIDAS" sheetId="8" state="visible" r:id="rId8"/>
  </sheets>
  <definedNames>
    <definedName name="saldo_inicial">'CONFIG'!$B$11</definedName>
    <definedName name="ano_referencia">'CONFIG'!$B$12</definedName>
    <definedName name="modo_apuracao">'CONFIG'!$B$13</definedName>
    <definedName name="taxa_debito">'CONFIG'!$B$16</definedName>
    <definedName name="prazo_debito_dias">'CONFIG'!$D$16</definedName>
    <definedName name="taxa_credito_vista">'CONFIG'!$B$17</definedName>
    <definedName name="prazo_credito_dias">'CONFIG'!$D$17</definedName>
    <definedName name="taxa_credito_parcelado">'CONFIG'!$B$18</definedName>
    <definedName name="taxa_ifood">'CONFIG'!$B$21</definedName>
    <definedName name="prazo_ifood_dias">'CONFIG'!$D$21</definedName>
    <definedName name="taxa_ubereats">'CONFIG'!$B$22</definedName>
    <definedName name="prazo_ubereats_dias">'CONFIG'!$D$22</definedName>
    <definedName name="taxa_99food">'CONFIG'!$B$23</definedName>
    <definedName name="prazo_99food_dias">'CONFIG'!$D$23</definedName>
    <definedName name="_xlnm._FilterDatabase" localSheetId="2" hidden="1">'LANÇAMENTOS'!$A$4:$N$34</definedName>
    <definedName name="_xlnm._FilterDatabase" localSheetId="3" hidden="1">'CONTAS A PAGAR-RECEBER'!$A$4:$H$24</definedName>
    <definedName name="_xlnm.Print_Area" localSheetId="6">'RELATÓRIO'!$A$1:$D$32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.00"/>
    <numFmt numFmtId="165" formatCode="0.0%"/>
    <numFmt numFmtId="166" formatCode="DD/MM/YYYY"/>
    <numFmt numFmtId="167" formatCode="&quot;R$&quot; #,##0.00;-&quot;R$&quot; #,##0.00;&quot;&quot;"/>
    <numFmt numFmtId="168" formatCode="MMM/YYYY"/>
    <numFmt numFmtId="169" formatCode="yyyy-mm-dd"/>
  </numFmts>
  <fonts count="14">
    <font>
      <name val="Arial"/>
      <sz val="10"/>
    </font>
    <font>
      <name val="Arial"/>
      <sz val="10"/>
    </font>
    <font>
      <name val="Arial"/>
      <b val="1"/>
      <color rgb="00FFFFFF"/>
      <sz val="20"/>
    </font>
    <font>
      <name val="Arial"/>
      <i val="1"/>
      <color rgb="00833C00"/>
      <sz val="9"/>
    </font>
    <font>
      <name val="Arial"/>
      <b val="1"/>
      <color rgb="001F4E79"/>
      <sz val="11"/>
    </font>
    <font>
      <name val="Arial"/>
      <color rgb="001155CC"/>
      <sz val="9"/>
      <u val="single"/>
    </font>
    <font>
      <name val="Arial"/>
      <i val="1"/>
      <color rgb="00808080"/>
      <sz val="9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9"/>
    </font>
    <font>
      <name val="Arial"/>
      <b val="1"/>
      <color rgb="001F4E79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1" fillId="0" borderId="0"/>
  </cellStyleXfs>
  <cellXfs count="4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0" fillId="4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5" borderId="1" applyProtection="1" pivotButton="0" quotePrefix="0" xfId="0">
      <protection locked="0" hidden="0"/>
    </xf>
    <xf numFmtId="1" fontId="0" fillId="0" borderId="1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0" fontId="6" fillId="0" borderId="0" applyAlignment="1" pivotButton="0" quotePrefix="0" xfId="0">
      <alignment vertical="center" wrapText="1"/>
    </xf>
    <xf numFmtId="165" fontId="0" fillId="5" borderId="1" applyProtection="1" pivotButton="0" quotePrefix="0" xfId="0">
      <protection locked="0" hidden="0"/>
    </xf>
    <xf numFmtId="1" fontId="0" fillId="5" borderId="1" applyProtection="1" pivotButton="0" quotePrefix="0" xfId="0">
      <protection locked="0" hidden="0"/>
    </xf>
    <xf numFmtId="0" fontId="0" fillId="0" borderId="1" pivotButton="0" quotePrefix="0" xfId="0"/>
    <xf numFmtId="0" fontId="3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166" fontId="0" fillId="4" borderId="1" applyProtection="1" pivotButton="0" quotePrefix="0" xfId="0">
      <protection locked="0" hidden="0"/>
    </xf>
    <xf numFmtId="167" fontId="0" fillId="4" borderId="1" applyProtection="1" pivotButton="0" quotePrefix="0" xfId="0">
      <protection locked="0" hidden="0"/>
    </xf>
    <xf numFmtId="165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0" fontId="3" fillId="3" borderId="0" applyAlignment="1" pivotButton="0" quotePrefix="0" xfId="0">
      <alignment horizontal="center" vertical="center"/>
    </xf>
    <xf numFmtId="168" fontId="0" fillId="0" borderId="1" pivotButton="0" quotePrefix="0" xfId="0"/>
    <xf numFmtId="0" fontId="9" fillId="0" borderId="0" pivotButton="0" quotePrefix="0" xfId="0"/>
    <xf numFmtId="168" fontId="0" fillId="5" borderId="1" applyProtection="1" pivotButton="0" quotePrefix="0" xfId="0">
      <protection locked="0" hidden="0"/>
    </xf>
    <xf numFmtId="164" fontId="10" fillId="0" borderId="1" pivotButton="0" quotePrefix="0" xfId="0"/>
    <xf numFmtId="164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4" fontId="13" fillId="0" borderId="1" pivotButton="0" quotePrefix="0" xfId="0"/>
    <xf numFmtId="0" fontId="8" fillId="2" borderId="0" pivotButton="0" quotePrefix="0" xfId="0"/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x Saídas — últimos 6 meses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'DASHBOARD'!$B$13:$B$18</f>
            </numRef>
          </val>
        </ser>
        <ser>
          <idx val="1"/>
          <order val="1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'DASHBOARD'!$C$13:$C$18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Composição de Despesas por Categoria (mês atual)</a:t>
            </a:r>
          </a:p>
        </rich>
      </tx>
    </title>
    <plotArea>
      <pieChart>
        <varyColors val="1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'DASHBOARD'!$A$21:$A$35</f>
            </numRef>
          </cat>
          <val>
            <numRef>
              <f>'DASHBOARD'!$B$21:$B$35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Canal (mês atual)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'DASHBOARD'!$A$38:$A$41</f>
            </numRef>
          </cat>
          <val>
            <numRef>
              <f>'DASHBOARD'!$B$38:$B$41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W.D.S.
WDS Fluxo de Caixa
VERSÃO DEMONSTRATIVA</t>
        </is>
      </c>
      <c r="D1" s="2" t="n"/>
    </row>
    <row r="2" ht="30" customHeight="1"/>
    <row r="4" ht="48" customHeight="1">
      <c r="B4" s="3" t="inlineStr">
        <is>
          <t>Controle o fluxo de caixa do seu negócio de alimentação em um só lugar: lance vendas e despesas, acompanhe o previsto x realizado respeitando o prazo de repasse do cartão e dos apps de delivery, e organize contas a pagar e a receber.</t>
        </is>
      </c>
    </row>
    <row r="6" ht="46" customHeight="1">
      <c r="B6" s="4" t="inlineStr">
        <is>
          <t>◆ Esta é a versão demonstrativa. Os dados já preenchidos na aba LANÇAMENTOS são de exemplo — apague e coloque os seus. Todas as fórmulas funcionam de verdade: mexa nas suas taxas na aba CONFIG e veja os números mudarem.</t>
        </is>
      </c>
    </row>
    <row r="8">
      <c r="B8" s="5" t="inlineStr">
        <is>
          <t>O QUE MUDA NA VERSÃO COMPLETA</t>
        </is>
      </c>
    </row>
    <row r="9">
      <c r="B9" t="inlineStr">
        <is>
          <t>• Lançamentos: 30 nesta demo → 3.000 na completa (cerca de 1 ano)</t>
        </is>
      </c>
    </row>
    <row r="10">
      <c r="B10" t="inlineStr">
        <is>
          <t>• Contas a pagar/receber: só visível aqui → totalmente funcional na completa</t>
        </is>
      </c>
    </row>
    <row r="11">
      <c r="B11" t="inlineStr">
        <is>
          <t>• Relatório em PDF: com marca d'água aqui → limpo, pronto para o contador</t>
        </is>
      </c>
    </row>
    <row r="12">
      <c r="B12" t="inlineStr">
        <is>
          <t>• Ano de referência: fixo aqui → editável na completa</t>
        </is>
      </c>
    </row>
    <row r="14">
      <c r="B14" s="5" t="inlineStr">
        <is>
          <t>COMO USAR</t>
        </is>
      </c>
    </row>
    <row r="15">
      <c r="B15" t="inlineStr">
        <is>
          <t>1. Configure suas taxas, prazos e categorias na aba CONFIG.</t>
        </is>
      </c>
    </row>
    <row r="16">
      <c r="B16" t="inlineStr">
        <is>
          <t>2. Lance vendas e despesas todo dia na aba LANÇAMENTOS.</t>
        </is>
      </c>
    </row>
    <row r="17">
      <c r="B17" t="inlineStr">
        <is>
          <t>3. Registre contas a vencer na aba CONTAS A PAGAR/RECEBER.</t>
        </is>
      </c>
    </row>
    <row r="18">
      <c r="B18" t="inlineStr">
        <is>
          <t>4. Acompanhe o resultado em DASHBOARD.</t>
        </is>
      </c>
    </row>
    <row r="19">
      <c r="B19" t="inlineStr">
        <is>
          <t>5. Exporte o relatório mensal em RELATÓRIO.</t>
        </is>
      </c>
    </row>
    <row r="21">
      <c r="B21" s="5" t="inlineStr">
        <is>
          <t>LEGENDA DE CORES</t>
        </is>
      </c>
    </row>
    <row r="22">
      <c r="A22" s="6" t="n"/>
      <c r="B22" t="inlineStr">
        <is>
          <t xml:space="preserve">  Azul — célula editável</t>
        </is>
      </c>
    </row>
    <row r="23">
      <c r="A23" s="7" t="n"/>
      <c r="B23" t="inlineStr">
        <is>
          <t xml:space="preserve">  Amarelo — configuração importante, preencha antes de usar</t>
        </is>
      </c>
    </row>
    <row r="24">
      <c r="B24" t="inlineStr">
        <is>
          <t xml:space="preserve">  Preto (sem preenchimento) — fórmula, não mexer</t>
        </is>
      </c>
    </row>
    <row r="26">
      <c r="B26" s="5" t="inlineStr">
        <is>
          <t>NAVEGAÇÃO</t>
        </is>
      </c>
    </row>
    <row r="27">
      <c r="B27" s="8" t="inlineStr">
        <is>
          <t>▸ CONFIG</t>
        </is>
      </c>
    </row>
    <row r="28">
      <c r="B28" s="8" t="inlineStr">
        <is>
          <t>▸ LANÇAMENTOS</t>
        </is>
      </c>
    </row>
    <row r="29">
      <c r="B29" s="8" t="inlineStr">
        <is>
          <t>▸ CONTAS A PAGAR-RECEBER</t>
        </is>
      </c>
    </row>
    <row r="30">
      <c r="B30" s="8" t="inlineStr">
        <is>
          <t>▸ FLUXO DE CAIXA</t>
        </is>
      </c>
    </row>
    <row r="31">
      <c r="B31" s="8" t="inlineStr">
        <is>
          <t>▸ DASHBOARD</t>
        </is>
      </c>
    </row>
    <row r="32">
      <c r="B32" s="8" t="inlineStr">
        <is>
          <t>▸ RELATÓRIO</t>
        </is>
      </c>
    </row>
    <row r="33">
      <c r="B33" s="8" t="inlineStr">
        <is>
          <t>▸ DÚVIDAS</t>
        </is>
      </c>
    </row>
    <row r="35">
      <c r="B35" s="9" t="inlineStr">
        <is>
          <t>WDS Fluxo de Caixa — versão 1.0  |  Suporte: wwwilliansantosdias@gmail.com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235"/>
  <mergeCells count="2">
    <mergeCell ref="D1:N2"/>
    <mergeCell ref="A1:C2"/>
  </mergeCells>
  <hyperlinks>
    <hyperlink ref="B27" location="'CONFIG'!A1"/>
    <hyperlink ref="B28" location="'LANÇAMENTOS'!A1"/>
    <hyperlink ref="B29" location="'CONTAS A PAGAR-RECEBER'!A1"/>
    <hyperlink ref="B30" location="'FLUXO DE CAIXA'!A1"/>
    <hyperlink ref="B31" location="'DASHBOARD'!A1"/>
    <hyperlink ref="B32" location="'RELATÓRIO'!A1"/>
    <hyperlink ref="B33" location="'DÚVIDA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16" customWidth="1" min="4" max="4"/>
  </cols>
  <sheetData>
    <row r="1" ht="26" customHeight="1">
      <c r="A1" s="10" t="inlineStr">
        <is>
          <t>W.D.S. — CONFIGURAÇÃO</t>
        </is>
      </c>
    </row>
    <row r="2" ht="16" customHeight="1">
      <c r="A2" s="9" t="inlineStr">
        <is>
          <t>Ir para:</t>
        </is>
      </c>
      <c r="B2" s="8" t="inlineStr">
        <is>
          <t>INÍCIO</t>
        </is>
      </c>
      <c r="C2" s="8" t="inlineStr">
        <is>
          <t>LANÇAMENTOS</t>
        </is>
      </c>
      <c r="D2" s="8" t="inlineStr">
        <is>
          <t>CONTAS A PAGAR-RECEBER</t>
        </is>
      </c>
      <c r="E2" s="8" t="inlineStr">
        <is>
          <t>FLUXO DE CAIXA</t>
        </is>
      </c>
      <c r="F2" s="8" t="inlineStr">
        <is>
          <t>DASHBOARD</t>
        </is>
      </c>
      <c r="G2" s="8" t="inlineStr">
        <is>
          <t>RELATÓRIO</t>
        </is>
      </c>
      <c r="H2" s="8" t="inlineStr">
        <is>
          <t>DÚVIDAS</t>
        </is>
      </c>
    </row>
    <row r="3" ht="18" customHeight="1">
      <c r="A3" s="9" t="inlineStr">
        <is>
          <t>Preencha as células amarelas antes de usar a planilha. Azul é o que você edita no dia a dia; preto é fórmula e não deve ser alterado.</t>
        </is>
      </c>
    </row>
    <row r="5">
      <c r="A5" s="5" t="inlineStr">
        <is>
          <t>DADOS DO NEGÓCIO</t>
        </is>
      </c>
    </row>
    <row r="6">
      <c r="A6" t="inlineStr">
        <is>
          <t>Nome do negócio</t>
        </is>
      </c>
      <c r="B6" s="11" t="inlineStr">
        <is>
          <t>Meu Restaurante</t>
        </is>
      </c>
      <c r="C6" s="12" t="n"/>
      <c r="D6" s="13" t="n"/>
    </row>
    <row r="7">
      <c r="A7" t="inlineStr">
        <is>
          <t>Responsável</t>
        </is>
      </c>
      <c r="B7" s="11" t="inlineStr"/>
      <c r="C7" s="12" t="n"/>
      <c r="D7" s="13" t="n"/>
    </row>
    <row r="8">
      <c r="A8" t="inlineStr">
        <is>
          <t>Tipo de negócio</t>
        </is>
      </c>
      <c r="B8" s="11" t="inlineStr">
        <is>
          <t>Restaurante</t>
        </is>
      </c>
    </row>
    <row r="10">
      <c r="A10" s="5" t="inlineStr">
        <is>
          <t>PARÂMETROS GERAIS</t>
        </is>
      </c>
    </row>
    <row r="11">
      <c r="A11" t="inlineStr">
        <is>
          <t>Saldo inicial em caixa/banco (R$)</t>
        </is>
      </c>
      <c r="B11" s="14" t="n">
        <v>12000</v>
      </c>
      <c r="C11" s="9" t="inlineStr">
        <is>
          <t>Dinheiro que já existe antes de começar a usar a planilha.</t>
        </is>
      </c>
    </row>
    <row r="12">
      <c r="A12" t="inlineStr">
        <is>
          <t>Ano de referência (aba FLUXO DE CAIXA)</t>
        </is>
      </c>
      <c r="B12" s="15" t="n">
        <v>2026</v>
      </c>
      <c r="C12" s="16" t="inlineStr">
        <is>
          <t>Fixo nesta versão demonstrativa. Editável na versão completa.</t>
        </is>
      </c>
    </row>
    <row r="13">
      <c r="A13" t="inlineStr">
        <is>
          <t>Modo de apuração do Realizado</t>
        </is>
      </c>
      <c r="B13" s="17" t="inlineStr">
        <is>
          <t>Data Prevista</t>
        </is>
      </c>
      <c r="C13" s="18" t="inlineStr">
        <is>
          <t>"Data Prevista" conta tudo cujo prazo já venceu, sem exigir nada do usuário. "Conferencia" só conta o que foi marcado como Conferido = Sim em LANÇAMENTOS.</t>
        </is>
      </c>
    </row>
    <row r="15">
      <c r="A15" s="5" t="inlineStr">
        <is>
          <t>TAXAS E PRAZOS — MAQUININHA DE CARTÃO</t>
        </is>
      </c>
    </row>
    <row r="16">
      <c r="A16" t="inlineStr">
        <is>
          <t>Taxa débito (%)</t>
        </is>
      </c>
      <c r="B16" s="19" t="n">
        <v>0.015</v>
      </c>
      <c r="C16" t="inlineStr">
        <is>
          <t>Prazo débito (dias até o repasse)</t>
        </is>
      </c>
      <c r="D16" s="20" t="n">
        <v>1</v>
      </c>
    </row>
    <row r="17">
      <c r="A17" t="inlineStr">
        <is>
          <t>Taxa crédito à vista (%)</t>
        </is>
      </c>
      <c r="B17" s="19" t="n">
        <v>0.035</v>
      </c>
      <c r="C17" t="inlineStr">
        <is>
          <t>Prazo crédito, à vista e parcelado (dias até o repasse)</t>
        </is>
      </c>
      <c r="D17" s="20" t="n">
        <v>30</v>
      </c>
    </row>
    <row r="18">
      <c r="A18" t="inlineStr">
        <is>
          <t>Taxa crédito parcelado (%)</t>
        </is>
      </c>
      <c r="B18" s="19" t="n">
        <v>0.055</v>
      </c>
      <c r="C18" s="9" t="inlineStr">
        <is>
          <t>Usa o mesmo prazo do crédito à vista, na linha acima.</t>
        </is>
      </c>
    </row>
    <row r="20">
      <c r="A20" s="5" t="inlineStr">
        <is>
          <t>TAXAS E PRAZOS — APPS DE DELIVERY</t>
        </is>
      </c>
    </row>
    <row r="21">
      <c r="A21" t="inlineStr">
        <is>
          <t>Comissão iFood (%)</t>
        </is>
      </c>
      <c r="B21" s="19" t="n">
        <v>0.12</v>
      </c>
      <c r="C21" t="inlineStr">
        <is>
          <t>Prazo repasse iFood (dias)</t>
        </is>
      </c>
      <c r="D21" s="20" t="n">
        <v>7</v>
      </c>
    </row>
    <row r="22">
      <c r="A22" t="inlineStr">
        <is>
          <t>Comissão Uber Eats (%)</t>
        </is>
      </c>
      <c r="B22" s="19" t="n">
        <v>0.15</v>
      </c>
      <c r="C22" t="inlineStr">
        <is>
          <t>Prazo repasse Uber Eats (dias)</t>
        </is>
      </c>
      <c r="D22" s="20" t="n">
        <v>7</v>
      </c>
    </row>
    <row r="23">
      <c r="A23" t="inlineStr">
        <is>
          <t>Comissão 99Food (%)</t>
        </is>
      </c>
      <c r="B23" s="19" t="n">
        <v>0.12</v>
      </c>
      <c r="C23" t="inlineStr">
        <is>
          <t>Prazo repasse 99Food (dias)</t>
        </is>
      </c>
      <c r="D23" s="20" t="n">
        <v>14</v>
      </c>
    </row>
    <row r="25">
      <c r="A25" s="5" t="inlineStr">
        <is>
          <t>CATEGORIAS (NATUREZA DO LANÇAMENTO)</t>
        </is>
      </c>
    </row>
    <row r="26">
      <c r="A26" s="9" t="inlineStr">
        <is>
          <t>Editável e expansível. Usada nas colunas Categoria de LANÇAMENTOS.</t>
        </is>
      </c>
    </row>
    <row r="27">
      <c r="B27" s="11" t="inlineStr">
        <is>
          <t>Venda de Produto</t>
        </is>
      </c>
    </row>
    <row r="28">
      <c r="B28" s="11" t="inlineStr">
        <is>
          <t>Despesa Fixa</t>
        </is>
      </c>
    </row>
    <row r="29">
      <c r="B29" s="11" t="inlineStr">
        <is>
          <t>Despesa Variável</t>
        </is>
      </c>
    </row>
    <row r="30">
      <c r="B30" s="11" t="inlineStr">
        <is>
          <t>Compra de Insumo</t>
        </is>
      </c>
    </row>
    <row r="31">
      <c r="B31" s="11" t="inlineStr">
        <is>
          <t>Empréstimo</t>
        </is>
      </c>
    </row>
    <row r="32">
      <c r="B32" s="11" t="inlineStr">
        <is>
          <t>Outros</t>
        </is>
      </c>
    </row>
    <row r="33">
      <c r="B33" s="11" t="inlineStr"/>
    </row>
    <row r="34">
      <c r="B34" s="11" t="inlineStr"/>
    </row>
    <row r="35">
      <c r="B35" s="11" t="inlineStr"/>
    </row>
    <row r="36">
      <c r="B36" s="11" t="inlineStr"/>
    </row>
    <row r="37">
      <c r="B37" s="11" t="inlineStr"/>
    </row>
    <row r="38">
      <c r="B38" s="11" t="inlineStr"/>
    </row>
    <row r="39">
      <c r="B39" s="11" t="inlineStr"/>
    </row>
    <row r="40">
      <c r="B40" s="11" t="inlineStr"/>
    </row>
    <row r="41">
      <c r="B41" s="11" t="inlineStr"/>
    </row>
    <row r="43">
      <c r="A43" s="5" t="inlineStr">
        <is>
          <t>CANAIS DE VENDA</t>
        </is>
      </c>
    </row>
    <row r="44" ht="30" customHeight="1">
      <c r="A44" s="4" t="inlineStr">
        <is>
          <t>Editável e expansível. Não renomeie iFood, Uber Eats e 99Food: esses nomes exatos são usados nas fórmulas de taxa e prazo de LANÇAMENTOS. Novos canais podem ser adicionados livremente nas linhas em branco.</t>
        </is>
      </c>
    </row>
    <row r="45">
      <c r="B45" s="11" t="inlineStr">
        <is>
          <t>Balcão</t>
        </is>
      </c>
    </row>
    <row r="46">
      <c r="B46" s="11" t="inlineStr">
        <is>
          <t>iFood</t>
        </is>
      </c>
    </row>
    <row r="47">
      <c r="B47" s="11" t="inlineStr">
        <is>
          <t>Uber Eats</t>
        </is>
      </c>
    </row>
    <row r="48">
      <c r="B48" s="11" t="inlineStr">
        <is>
          <t>99Food</t>
        </is>
      </c>
    </row>
    <row r="49">
      <c r="B49" s="11" t="inlineStr">
        <is>
          <t>WhatsApp</t>
        </is>
      </c>
    </row>
    <row r="50">
      <c r="B50" s="11" t="inlineStr">
        <is>
          <t>Delivery Próprio</t>
        </is>
      </c>
    </row>
    <row r="51">
      <c r="B51" s="11" t="inlineStr">
        <is>
          <t>Interno/N-A</t>
        </is>
      </c>
    </row>
    <row r="52">
      <c r="B52" s="11" t="inlineStr"/>
    </row>
    <row r="53">
      <c r="B53" s="11" t="inlineStr"/>
    </row>
    <row r="54">
      <c r="B54" s="11" t="inlineStr"/>
    </row>
    <row r="55">
      <c r="B55" s="11" t="inlineStr"/>
    </row>
    <row r="56">
      <c r="B56" s="11" t="inlineStr"/>
    </row>
    <row r="58">
      <c r="A58" s="5" t="inlineStr">
        <is>
          <t>FORMAS DE PAGAMENTO (FIXAS)</t>
        </is>
      </c>
    </row>
    <row r="59" ht="28" customHeight="1">
      <c r="A59" s="18" t="inlineStr">
        <is>
          <t>Lista fixa usada na coluna Forma de Pagamento de LANÇAMENTOS — os nomes exatos abaixo são usados nas fórmulas de taxa e prazo, por isso não são editáveis aqui.</t>
        </is>
      </c>
    </row>
    <row r="60">
      <c r="B60" s="21" t="inlineStr">
        <is>
          <t>Dinheiro</t>
        </is>
      </c>
    </row>
    <row r="61">
      <c r="B61" s="21" t="inlineStr">
        <is>
          <t>PIX</t>
        </is>
      </c>
    </row>
    <row r="62">
      <c r="B62" s="21" t="inlineStr">
        <is>
          <t>Débito</t>
        </is>
      </c>
    </row>
    <row r="63">
      <c r="B63" s="21" t="inlineStr">
        <is>
          <t>Crédito à vista</t>
        </is>
      </c>
    </row>
    <row r="64">
      <c r="B64" s="21" t="inlineStr">
        <is>
          <t>Crédito parcelado</t>
        </is>
      </c>
    </row>
    <row r="66">
      <c r="A66" s="5" t="inlineStr">
        <is>
          <t>EQUIPE / RESPONSÁVEIS</t>
        </is>
      </c>
    </row>
    <row r="67">
      <c r="A67" s="9" t="inlineStr">
        <is>
          <t>Editável. Usada na coluna Responsável pelo Lançamento de LANÇAMENTOS.</t>
        </is>
      </c>
    </row>
    <row r="68">
      <c r="B68" s="11" t="inlineStr">
        <is>
          <t>Ana (caixa)</t>
        </is>
      </c>
    </row>
    <row r="69">
      <c r="B69" s="11" t="inlineStr">
        <is>
          <t>Marcos (gerente)</t>
        </is>
      </c>
    </row>
    <row r="70">
      <c r="B70" s="11" t="inlineStr"/>
    </row>
    <row r="71">
      <c r="B71" s="11" t="inlineStr"/>
    </row>
    <row r="72">
      <c r="B72" s="11" t="inlineStr"/>
    </row>
    <row r="73">
      <c r="B73" s="11" t="inlineStr"/>
    </row>
    <row r="74">
      <c r="B74" s="11" t="inlineStr"/>
    </row>
    <row r="75">
      <c r="B75" s="11" t="inlineStr"/>
    </row>
    <row r="76">
      <c r="B76" s="11" t="inlineStr"/>
    </row>
    <row r="77">
      <c r="B77" s="11" t="inlineStr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8235"/>
  <mergeCells count="15">
    <mergeCell ref="A1:D1"/>
    <mergeCell ref="A5:D5"/>
    <mergeCell ref="A67:D67"/>
    <mergeCell ref="A58:D58"/>
    <mergeCell ref="A20:D20"/>
    <mergeCell ref="A26:D26"/>
    <mergeCell ref="A15:D15"/>
    <mergeCell ref="A59:D59"/>
    <mergeCell ref="A25:D25"/>
    <mergeCell ref="A43:D43"/>
    <mergeCell ref="A10:D10"/>
    <mergeCell ref="B6:D6"/>
    <mergeCell ref="B7:D7"/>
    <mergeCell ref="A66:D66"/>
    <mergeCell ref="A44:D44"/>
  </mergeCells>
  <dataValidations count="4">
    <dataValidation sqref="B8" showDropDown="0" showInputMessage="0" showErrorMessage="0" allowBlank="1" type="list">
      <formula1>"Restaurante,Bar,Lanchonete,Delivery,Outro"</formula1>
    </dataValidation>
    <dataValidation sqref="B13" showDropDown="0" showInputMessage="0" showErrorMessage="0" allowBlank="0" type="list">
      <formula1>"Data Prevista,Conferencia"</formula1>
    </dataValidation>
    <dataValidation sqref="B16 B17 B18 B21 B22 B23" showDropDown="0" showInputMessage="0" showErrorMessage="0" allowBlank="0" errorTitle="Taxa inválida" error="Informe um percentual entre 0% e 100%." type="decimal" operator="between">
      <formula1>0</formula1>
      <formula2>1</formula2>
    </dataValidation>
    <dataValidation sqref="D16 D17 D21 D22 D23" showDropDown="0" showInputMessage="0" showErrorMessage="0" allowBlank="0" errorTitle="Prazo inválido" error="Informe um número de dias entre 0 e 365." type="whole" operator="between">
      <formula1>0</formula1>
      <formula2>365</formula2>
    </dataValidation>
  </dataValidations>
  <hyperlinks>
    <hyperlink ref="B2" location="'INÍCIO'!A1"/>
    <hyperlink ref="C2" location="'LANÇAMENTOS'!A1"/>
    <hyperlink ref="D2" location="'CONTAS A PAGAR-RECEBER'!A1"/>
    <hyperlink ref="E2" location="'FLUXO DE CAIXA'!A1"/>
    <hyperlink ref="F2" location="'DASHBOARD'!A1"/>
    <hyperlink ref="G2" location="'RELATÓRIO'!A1"/>
    <hyperlink ref="H2" location="'DÚVIDAS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18" customWidth="1" min="5" max="5"/>
    <col width="14" customWidth="1" min="6" max="6"/>
    <col width="12" customWidth="1" min="7" max="7"/>
    <col width="14" customWidth="1" min="8" max="8"/>
    <col width="16" customWidth="1" min="9" max="9"/>
    <col width="13" customWidth="1" min="10" max="10"/>
    <col width="12" customWidth="1" min="11" max="11"/>
    <col width="22" customWidth="1" min="12" max="12"/>
    <col width="18" customWidth="1" min="13" max="13"/>
    <col width="32" customWidth="1" min="14" max="14"/>
  </cols>
  <sheetData>
    <row r="1" ht="26" customHeight="1">
      <c r="A1" s="10" t="inlineStr">
        <is>
          <t>W.D.S. — LANÇAMENTOS</t>
        </is>
      </c>
    </row>
    <row r="2" ht="16" customHeight="1">
      <c r="A2" s="9" t="inlineStr">
        <is>
          <t>Ir para:</t>
        </is>
      </c>
      <c r="B2" s="8" t="inlineStr">
        <is>
          <t>INÍCIO</t>
        </is>
      </c>
      <c r="C2" s="8" t="inlineStr">
        <is>
          <t>CONFIG</t>
        </is>
      </c>
      <c r="D2" s="8" t="inlineStr">
        <is>
          <t>CONTAS A PAGAR-RECEBER</t>
        </is>
      </c>
      <c r="E2" s="8" t="inlineStr">
        <is>
          <t>FLUXO DE CAIXA</t>
        </is>
      </c>
      <c r="F2" s="8" t="inlineStr">
        <is>
          <t>DASHBOARD</t>
        </is>
      </c>
      <c r="G2" s="8" t="inlineStr">
        <is>
          <t>RELATÓRIO</t>
        </is>
      </c>
      <c r="H2" s="8" t="inlineStr">
        <is>
          <t>DÚVIDAS</t>
        </is>
      </c>
    </row>
    <row r="3" ht="18" customHeight="1">
      <c r="A3" s="22" t="inlineStr">
        <is>
          <t>VERSÃO DEMONSTRATIVA — limitada a 30 lançamentos. Os dados abaixo são de exemplo: apague e coloque os seus. Todas as fórmulas funcionam normalmente.</t>
        </is>
      </c>
    </row>
    <row r="4" ht="30" customHeight="1">
      <c r="A4" s="23" t="inlineStr">
        <is>
          <t>Data</t>
        </is>
      </c>
      <c r="B4" s="23" t="inlineStr">
        <is>
          <t>Tipo</t>
        </is>
      </c>
      <c r="C4" s="23" t="inlineStr">
        <is>
          <t>Categoria</t>
        </is>
      </c>
      <c r="D4" s="23" t="inlineStr">
        <is>
          <t>Canal</t>
        </is>
      </c>
      <c r="E4" s="23" t="inlineStr">
        <is>
          <t>Forma de Pagamento</t>
        </is>
      </c>
      <c r="F4" s="23" t="inlineStr">
        <is>
          <t>Valor Bruto (R$)</t>
        </is>
      </c>
      <c r="G4" s="23" t="inlineStr">
        <is>
          <t>Taxa Aplicada</t>
        </is>
      </c>
      <c r="H4" s="23" t="inlineStr">
        <is>
          <t>Valor Líquido (R$)</t>
        </is>
      </c>
      <c r="I4" s="23" t="inlineStr">
        <is>
          <t>Data Prevista de Caixa</t>
        </is>
      </c>
      <c r="J4" s="23" t="inlineStr">
        <is>
          <t>Status</t>
        </is>
      </c>
      <c r="K4" s="23" t="inlineStr">
        <is>
          <t>Conferido no Extrato</t>
        </is>
      </c>
      <c r="L4" s="23" t="inlineStr">
        <is>
          <t>Responsável pelo Lançamento</t>
        </is>
      </c>
      <c r="M4" s="23" t="inlineStr">
        <is>
          <t>Nº do Comprovante/NF</t>
        </is>
      </c>
      <c r="N4" s="23" t="inlineStr">
        <is>
          <t>Observação</t>
        </is>
      </c>
    </row>
    <row r="5">
      <c r="A5" s="24" t="n">
        <v>46235</v>
      </c>
      <c r="B5" s="11" t="inlineStr">
        <is>
          <t>Entrada</t>
        </is>
      </c>
      <c r="C5" s="11" t="inlineStr">
        <is>
          <t>Venda de Produto</t>
        </is>
      </c>
      <c r="D5" s="11" t="inlineStr">
        <is>
          <t>Balcão</t>
        </is>
      </c>
      <c r="E5" s="11" t="inlineStr">
        <is>
          <t>Dinheiro</t>
        </is>
      </c>
      <c r="F5" s="25" t="n">
        <v>2340</v>
      </c>
      <c r="G5" s="26">
        <f>IF($A5="","",IF($B5="Saída",0,IF($D5="iFood",taxa_ifood,IF($D5="Uber Eats",taxa_ubereats,IF($D5="99Food",taxa_99food,IF($E5="Débito",taxa_debito,IF($E5="Crédito à vista",taxa_credito_vista,IF($E5="Crédito parcelado",taxa_credito_parcelado,0))))))))</f>
        <v/>
      </c>
      <c r="H5" s="27">
        <f>IF($A5="","",IF($B5="Saída",$F5,$F5*(1-$G5)))</f>
        <v/>
      </c>
      <c r="I5" s="28">
        <f>IF($A5="","",IF($B5="Saída",$A5,IF($D5="iFood",$A5+prazo_ifood_dias,IF($D5="Uber Eats",$A5+prazo_ubereats_dias,IF($D5="99Food",$A5+prazo_99food_dias,IF($E5="Débito",$A5+prazo_debito_dias,IF(OR($E5="Crédito à vista",$E5="Crédito parcelado"),$A5+prazo_credito_dias,$A5)))))))</f>
        <v/>
      </c>
      <c r="J5" s="21">
        <f>IF($A5="","",IF($K5="Sim","Realizado",IF($I5&lt;=TODAY(),"A Confirmar","Previsto")))</f>
        <v/>
      </c>
      <c r="K5" s="11" t="inlineStr">
        <is>
          <t>Sim</t>
        </is>
      </c>
      <c r="L5" s="11" t="inlineStr">
        <is>
          <t>Ana (caixa)</t>
        </is>
      </c>
      <c r="M5" s="11" t="n"/>
      <c r="N5" s="11" t="inlineStr">
        <is>
          <t>Vendas do dia — balcão</t>
        </is>
      </c>
    </row>
    <row r="6">
      <c r="A6" s="24" t="n">
        <v>46235</v>
      </c>
      <c r="B6" s="11" t="inlineStr">
        <is>
          <t>Saída</t>
        </is>
      </c>
      <c r="C6" s="11" t="inlineStr">
        <is>
          <t>Despesa Fixa</t>
        </is>
      </c>
      <c r="D6" s="11" t="inlineStr">
        <is>
          <t>Interno/N-A</t>
        </is>
      </c>
      <c r="E6" s="11" t="inlineStr">
        <is>
          <t>PIX</t>
        </is>
      </c>
      <c r="F6" s="25" t="n">
        <v>3800</v>
      </c>
      <c r="G6" s="26">
        <f>IF($A6="","",IF($B6="Saída",0,IF($D6="iFood",taxa_ifood,IF($D6="Uber Eats",taxa_ubereats,IF($D6="99Food",taxa_99food,IF($E6="Débito",taxa_debito,IF($E6="Crédito à vista",taxa_credito_vista,IF($E6="Crédito parcelado",taxa_credito_parcelado,0))))))))</f>
        <v/>
      </c>
      <c r="H6" s="27">
        <f>IF($A6="","",IF($B6="Saída",$F6,$F6*(1-$G6)))</f>
        <v/>
      </c>
      <c r="I6" s="28">
        <f>IF($A6="","",IF($B6="Saída",$A6,IF($D6="iFood",$A6+prazo_ifood_dias,IF($D6="Uber Eats",$A6+prazo_ubereats_dias,IF($D6="99Food",$A6+prazo_99food_dias,IF($E6="Débito",$A6+prazo_debito_dias,IF(OR($E6="Crédito à vista",$E6="Crédito parcelado"),$A6+prazo_credito_dias,$A6)))))))</f>
        <v/>
      </c>
      <c r="J6" s="21">
        <f>IF($A6="","",IF($K6="Sim","Realizado",IF($I6&lt;=TODAY(),"A Confirmar","Previsto")))</f>
        <v/>
      </c>
      <c r="K6" s="11" t="inlineStr">
        <is>
          <t>Sim</t>
        </is>
      </c>
      <c r="L6" s="11" t="inlineStr">
        <is>
          <t>Marcos (gerente)</t>
        </is>
      </c>
      <c r="M6" s="11" t="n"/>
      <c r="N6" s="11" t="inlineStr">
        <is>
          <t>Aluguel do ponto</t>
        </is>
      </c>
    </row>
    <row r="7">
      <c r="A7" s="24" t="n">
        <v>46236</v>
      </c>
      <c r="B7" s="11" t="inlineStr">
        <is>
          <t>Entrada</t>
        </is>
      </c>
      <c r="C7" s="11" t="inlineStr">
        <is>
          <t>Venda de Produto</t>
        </is>
      </c>
      <c r="D7" s="11" t="inlineStr">
        <is>
          <t>Balcão</t>
        </is>
      </c>
      <c r="E7" s="11" t="inlineStr">
        <is>
          <t>Débito</t>
        </is>
      </c>
      <c r="F7" s="25" t="n">
        <v>1980</v>
      </c>
      <c r="G7" s="26">
        <f>IF($A7="","",IF($B7="Saída",0,IF($D7="iFood",taxa_ifood,IF($D7="Uber Eats",taxa_ubereats,IF($D7="99Food",taxa_99food,IF($E7="Débito",taxa_debito,IF($E7="Crédito à vista",taxa_credito_vista,IF($E7="Crédito parcelado",taxa_credito_parcelado,0))))))))</f>
        <v/>
      </c>
      <c r="H7" s="27">
        <f>IF($A7="","",IF($B7="Saída",$F7,$F7*(1-$G7)))</f>
        <v/>
      </c>
      <c r="I7" s="28">
        <f>IF($A7="","",IF($B7="Saída",$A7,IF($D7="iFood",$A7+prazo_ifood_dias,IF($D7="Uber Eats",$A7+prazo_ubereats_dias,IF($D7="99Food",$A7+prazo_99food_dias,IF($E7="Débito",$A7+prazo_debito_dias,IF(OR($E7="Crédito à vista",$E7="Crédito parcelado"),$A7+prazo_credito_dias,$A7)))))))</f>
        <v/>
      </c>
      <c r="J7" s="21">
        <f>IF($A7="","",IF($K7="Sim","Realizado",IF($I7&lt;=TODAY(),"A Confirmar","Previsto")))</f>
        <v/>
      </c>
      <c r="K7" s="11" t="inlineStr">
        <is>
          <t>Sim</t>
        </is>
      </c>
      <c r="L7" s="11" t="inlineStr">
        <is>
          <t>Ana (caixa)</t>
        </is>
      </c>
      <c r="M7" s="11" t="n"/>
      <c r="N7" s="11" t="inlineStr">
        <is>
          <t>Vendas do dia — cartão débito</t>
        </is>
      </c>
    </row>
    <row r="8">
      <c r="A8" s="24" t="n">
        <v>46236</v>
      </c>
      <c r="B8" s="11" t="inlineStr">
        <is>
          <t>Entrada</t>
        </is>
      </c>
      <c r="C8" s="11" t="inlineStr">
        <is>
          <t>Venda de Produto</t>
        </is>
      </c>
      <c r="D8" s="11" t="inlineStr">
        <is>
          <t>iFood</t>
        </is>
      </c>
      <c r="E8" s="11" t="inlineStr">
        <is>
          <t>Crédito à vista</t>
        </is>
      </c>
      <c r="F8" s="25" t="n">
        <v>1650</v>
      </c>
      <c r="G8" s="26">
        <f>IF($A8="","",IF($B8="Saída",0,IF($D8="iFood",taxa_ifood,IF($D8="Uber Eats",taxa_ubereats,IF($D8="99Food",taxa_99food,IF($E8="Débito",taxa_debito,IF($E8="Crédito à vista",taxa_credito_vista,IF($E8="Crédito parcelado",taxa_credito_parcelado,0))))))))</f>
        <v/>
      </c>
      <c r="H8" s="27">
        <f>IF($A8="","",IF($B8="Saída",$F8,$F8*(1-$G8)))</f>
        <v/>
      </c>
      <c r="I8" s="28">
        <f>IF($A8="","",IF($B8="Saída",$A8,IF($D8="iFood",$A8+prazo_ifood_dias,IF($D8="Uber Eats",$A8+prazo_ubereats_dias,IF($D8="99Food",$A8+prazo_99food_dias,IF($E8="Débito",$A8+prazo_debito_dias,IF(OR($E8="Crédito à vista",$E8="Crédito parcelado"),$A8+prazo_credito_dias,$A8)))))))</f>
        <v/>
      </c>
      <c r="J8" s="21">
        <f>IF($A8="","",IF($K8="Sim","Realizado",IF($I8&lt;=TODAY(),"A Confirmar","Previsto")))</f>
        <v/>
      </c>
      <c r="K8" s="11" t="inlineStr">
        <is>
          <t>Sim</t>
        </is>
      </c>
      <c r="L8" s="11" t="inlineStr">
        <is>
          <t>Marcos (gerente)</t>
        </is>
      </c>
      <c r="M8" s="11" t="n"/>
      <c r="N8" s="11" t="inlineStr">
        <is>
          <t>Repasse iFood</t>
        </is>
      </c>
    </row>
    <row r="9">
      <c r="A9" s="24" t="n">
        <v>46237</v>
      </c>
      <c r="B9" s="11" t="inlineStr">
        <is>
          <t>Saída</t>
        </is>
      </c>
      <c r="C9" s="11" t="inlineStr">
        <is>
          <t>Compra de Insumo</t>
        </is>
      </c>
      <c r="D9" s="11" t="inlineStr">
        <is>
          <t>Interno/N-A</t>
        </is>
      </c>
      <c r="E9" s="11" t="inlineStr">
        <is>
          <t>Dinheiro</t>
        </is>
      </c>
      <c r="F9" s="25" t="n">
        <v>720</v>
      </c>
      <c r="G9" s="26">
        <f>IF($A9="","",IF($B9="Saída",0,IF($D9="iFood",taxa_ifood,IF($D9="Uber Eats",taxa_ubereats,IF($D9="99Food",taxa_99food,IF($E9="Débito",taxa_debito,IF($E9="Crédito à vista",taxa_credito_vista,IF($E9="Crédito parcelado",taxa_credito_parcelado,0))))))))</f>
        <v/>
      </c>
      <c r="H9" s="27">
        <f>IF($A9="","",IF($B9="Saída",$F9,$F9*(1-$G9)))</f>
        <v/>
      </c>
      <c r="I9" s="28">
        <f>IF($A9="","",IF($B9="Saída",$A9,IF($D9="iFood",$A9+prazo_ifood_dias,IF($D9="Uber Eats",$A9+prazo_ubereats_dias,IF($D9="99Food",$A9+prazo_99food_dias,IF($E9="Débito",$A9+prazo_debito_dias,IF(OR($E9="Crédito à vista",$E9="Crédito parcelado"),$A9+prazo_credito_dias,$A9)))))))</f>
        <v/>
      </c>
      <c r="J9" s="21">
        <f>IF($A9="","",IF($K9="Sim","Realizado",IF($I9&lt;=TODAY(),"A Confirmar","Previsto")))</f>
        <v/>
      </c>
      <c r="K9" s="11" t="inlineStr">
        <is>
          <t>Sim</t>
        </is>
      </c>
      <c r="L9" s="11" t="inlineStr">
        <is>
          <t>Ana (caixa)</t>
        </is>
      </c>
      <c r="M9" s="11" t="n"/>
      <c r="N9" s="11" t="inlineStr">
        <is>
          <t>Hortifruti — feira</t>
        </is>
      </c>
    </row>
    <row r="10">
      <c r="A10" s="24" t="n">
        <v>46238</v>
      </c>
      <c r="B10" s="11" t="inlineStr">
        <is>
          <t>Entrada</t>
        </is>
      </c>
      <c r="C10" s="11" t="inlineStr">
        <is>
          <t>Venda de Produto</t>
        </is>
      </c>
      <c r="D10" s="11" t="inlineStr">
        <is>
          <t>Balcão</t>
        </is>
      </c>
      <c r="E10" s="11" t="inlineStr">
        <is>
          <t>Crédito à vista</t>
        </is>
      </c>
      <c r="F10" s="25" t="n">
        <v>1430</v>
      </c>
      <c r="G10" s="26">
        <f>IF($A10="","",IF($B10="Saída",0,IF($D10="iFood",taxa_ifood,IF($D10="Uber Eats",taxa_ubereats,IF($D10="99Food",taxa_99food,IF($E10="Débito",taxa_debito,IF($E10="Crédito à vista",taxa_credito_vista,IF($E10="Crédito parcelado",taxa_credito_parcelado,0))))))))</f>
        <v/>
      </c>
      <c r="H10" s="27">
        <f>IF($A10="","",IF($B10="Saída",$F10,$F10*(1-$G10)))</f>
        <v/>
      </c>
      <c r="I10" s="28">
        <f>IF($A10="","",IF($B10="Saída",$A10,IF($D10="iFood",$A10+prazo_ifood_dias,IF($D10="Uber Eats",$A10+prazo_ubereats_dias,IF($D10="99Food",$A10+prazo_99food_dias,IF($E10="Débito",$A10+prazo_debito_dias,IF(OR($E10="Crédito à vista",$E10="Crédito parcelado"),$A10+prazo_credito_dias,$A10)))))))</f>
        <v/>
      </c>
      <c r="J10" s="21">
        <f>IF($A10="","",IF($K10="Sim","Realizado",IF($I10&lt;=TODAY(),"A Confirmar","Previsto")))</f>
        <v/>
      </c>
      <c r="K10" s="11" t="inlineStr">
        <is>
          <t>Não</t>
        </is>
      </c>
      <c r="L10" s="11" t="inlineStr">
        <is>
          <t>Marcos (gerente)</t>
        </is>
      </c>
      <c r="M10" s="11" t="n"/>
      <c r="N10" s="11" t="inlineStr">
        <is>
          <t>Vendas do dia — crédito</t>
        </is>
      </c>
    </row>
    <row r="11">
      <c r="A11" s="24" t="n">
        <v>46239</v>
      </c>
      <c r="B11" s="11" t="inlineStr">
        <is>
          <t>Entrada</t>
        </is>
      </c>
      <c r="C11" s="11" t="inlineStr">
        <is>
          <t>Venda de Produto</t>
        </is>
      </c>
      <c r="D11" s="11" t="inlineStr">
        <is>
          <t>Uber Eats</t>
        </is>
      </c>
      <c r="E11" s="11" t="inlineStr">
        <is>
          <t>Dinheiro</t>
        </is>
      </c>
      <c r="F11" s="25" t="n">
        <v>1290</v>
      </c>
      <c r="G11" s="26">
        <f>IF($A11="","",IF($B11="Saída",0,IF($D11="iFood",taxa_ifood,IF($D11="Uber Eats",taxa_ubereats,IF($D11="99Food",taxa_99food,IF($E11="Débito",taxa_debito,IF($E11="Crédito à vista",taxa_credito_vista,IF($E11="Crédito parcelado",taxa_credito_parcelado,0))))))))</f>
        <v/>
      </c>
      <c r="H11" s="27">
        <f>IF($A11="","",IF($B11="Saída",$F11,$F11*(1-$G11)))</f>
        <v/>
      </c>
      <c r="I11" s="28">
        <f>IF($A11="","",IF($B11="Saída",$A11,IF($D11="iFood",$A11+prazo_ifood_dias,IF($D11="Uber Eats",$A11+prazo_ubereats_dias,IF($D11="99Food",$A11+prazo_99food_dias,IF($E11="Débito",$A11+prazo_debito_dias,IF(OR($E11="Crédito à vista",$E11="Crédito parcelado"),$A11+prazo_credito_dias,$A11)))))))</f>
        <v/>
      </c>
      <c r="J11" s="21">
        <f>IF($A11="","",IF($K11="Sim","Realizado",IF($I11&lt;=TODAY(),"A Confirmar","Previsto")))</f>
        <v/>
      </c>
      <c r="K11" s="11" t="inlineStr">
        <is>
          <t>Não</t>
        </is>
      </c>
      <c r="L11" s="11" t="inlineStr">
        <is>
          <t>Ana (caixa)</t>
        </is>
      </c>
      <c r="M11" s="11" t="n"/>
      <c r="N11" s="11" t="inlineStr">
        <is>
          <t>Pedidos Uber Eats</t>
        </is>
      </c>
    </row>
    <row r="12">
      <c r="A12" s="24" t="n">
        <v>46240</v>
      </c>
      <c r="B12" s="11" t="inlineStr">
        <is>
          <t>Saída</t>
        </is>
      </c>
      <c r="C12" s="11" t="inlineStr">
        <is>
          <t>Compra de Insumo</t>
        </is>
      </c>
      <c r="D12" s="11" t="inlineStr">
        <is>
          <t>Interno/N-A</t>
        </is>
      </c>
      <c r="E12" s="11" t="inlineStr">
        <is>
          <t>PIX</t>
        </is>
      </c>
      <c r="F12" s="25" t="n">
        <v>1850</v>
      </c>
      <c r="G12" s="26">
        <f>IF($A12="","",IF($B12="Saída",0,IF($D12="iFood",taxa_ifood,IF($D12="Uber Eats",taxa_ubereats,IF($D12="99Food",taxa_99food,IF($E12="Débito",taxa_debito,IF($E12="Crédito à vista",taxa_credito_vista,IF($E12="Crédito parcelado",taxa_credito_parcelado,0))))))))</f>
        <v/>
      </c>
      <c r="H12" s="27">
        <f>IF($A12="","",IF($B12="Saída",$F12,$F12*(1-$G12)))</f>
        <v/>
      </c>
      <c r="I12" s="28">
        <f>IF($A12="","",IF($B12="Saída",$A12,IF($D12="iFood",$A12+prazo_ifood_dias,IF($D12="Uber Eats",$A12+prazo_ubereats_dias,IF($D12="99Food",$A12+prazo_99food_dias,IF($E12="Débito",$A12+prazo_debito_dias,IF(OR($E12="Crédito à vista",$E12="Crédito parcelado"),$A12+prazo_credito_dias,$A12)))))))</f>
        <v/>
      </c>
      <c r="J12" s="21">
        <f>IF($A12="","",IF($K12="Sim","Realizado",IF($I12&lt;=TODAY(),"A Confirmar","Previsto")))</f>
        <v/>
      </c>
      <c r="K12" s="11" t="inlineStr">
        <is>
          <t>Sim</t>
        </is>
      </c>
      <c r="L12" s="11" t="inlineStr">
        <is>
          <t>Marcos (gerente)</t>
        </is>
      </c>
      <c r="M12" s="11" t="n"/>
      <c r="N12" s="11" t="inlineStr">
        <is>
          <t>Frigorífico — carnes</t>
        </is>
      </c>
    </row>
    <row r="13">
      <c r="A13" s="24" t="n">
        <v>46241</v>
      </c>
      <c r="B13" s="11" t="inlineStr">
        <is>
          <t>Entrada</t>
        </is>
      </c>
      <c r="C13" s="11" t="inlineStr">
        <is>
          <t>Venda de Produto</t>
        </is>
      </c>
      <c r="D13" s="11" t="inlineStr">
        <is>
          <t>Balcão</t>
        </is>
      </c>
      <c r="E13" s="11" t="inlineStr">
        <is>
          <t>PIX</t>
        </is>
      </c>
      <c r="F13" s="25" t="n">
        <v>2280</v>
      </c>
      <c r="G13" s="26">
        <f>IF($A13="","",IF($B13="Saída",0,IF($D13="iFood",taxa_ifood,IF($D13="Uber Eats",taxa_ubereats,IF($D13="99Food",taxa_99food,IF($E13="Débito",taxa_debito,IF($E13="Crédito à vista",taxa_credito_vista,IF($E13="Crédito parcelado",taxa_credito_parcelado,0))))))))</f>
        <v/>
      </c>
      <c r="H13" s="27">
        <f>IF($A13="","",IF($B13="Saída",$F13,$F13*(1-$G13)))</f>
        <v/>
      </c>
      <c r="I13" s="28">
        <f>IF($A13="","",IF($B13="Saída",$A13,IF($D13="iFood",$A13+prazo_ifood_dias,IF($D13="Uber Eats",$A13+prazo_ubereats_dias,IF($D13="99Food",$A13+prazo_99food_dias,IF($E13="Débito",$A13+prazo_debito_dias,IF(OR($E13="Crédito à vista",$E13="Crédito parcelado"),$A13+prazo_credito_dias,$A13)))))))</f>
        <v/>
      </c>
      <c r="J13" s="21">
        <f>IF($A13="","",IF($K13="Sim","Realizado",IF($I13&lt;=TODAY(),"A Confirmar","Previsto")))</f>
        <v/>
      </c>
      <c r="K13" s="11" t="inlineStr">
        <is>
          <t>Sim</t>
        </is>
      </c>
      <c r="L13" s="11" t="inlineStr">
        <is>
          <t>Ana (caixa)</t>
        </is>
      </c>
      <c r="M13" s="11" t="n"/>
      <c r="N13" s="11" t="inlineStr">
        <is>
          <t>Vendas do dia — PIX</t>
        </is>
      </c>
    </row>
    <row r="14">
      <c r="A14" s="24" t="n">
        <v>46242</v>
      </c>
      <c r="B14" s="11" t="inlineStr">
        <is>
          <t>Entrada</t>
        </is>
      </c>
      <c r="C14" s="11" t="inlineStr">
        <is>
          <t>Venda de Produto</t>
        </is>
      </c>
      <c r="D14" s="11" t="inlineStr">
        <is>
          <t>99Food</t>
        </is>
      </c>
      <c r="E14" s="11" t="inlineStr">
        <is>
          <t>PIX</t>
        </is>
      </c>
      <c r="F14" s="25" t="n">
        <v>940</v>
      </c>
      <c r="G14" s="26">
        <f>IF($A14="","",IF($B14="Saída",0,IF($D14="iFood",taxa_ifood,IF($D14="Uber Eats",taxa_ubereats,IF($D14="99Food",taxa_99food,IF($E14="Débito",taxa_debito,IF($E14="Crédito à vista",taxa_credito_vista,IF($E14="Crédito parcelado",taxa_credito_parcelado,0))))))))</f>
        <v/>
      </c>
      <c r="H14" s="27">
        <f>IF($A14="","",IF($B14="Saída",$F14,$F14*(1-$G14)))</f>
        <v/>
      </c>
      <c r="I14" s="28">
        <f>IF($A14="","",IF($B14="Saída",$A14,IF($D14="iFood",$A14+prazo_ifood_dias,IF($D14="Uber Eats",$A14+prazo_ubereats_dias,IF($D14="99Food",$A14+prazo_99food_dias,IF($E14="Débito",$A14+prazo_debito_dias,IF(OR($E14="Crédito à vista",$E14="Crédito parcelado"),$A14+prazo_credito_dias,$A14)))))))</f>
        <v/>
      </c>
      <c r="J14" s="21">
        <f>IF($A14="","",IF($K14="Sim","Realizado",IF($I14&lt;=TODAY(),"A Confirmar","Previsto")))</f>
        <v/>
      </c>
      <c r="K14" s="11" t="inlineStr">
        <is>
          <t>Não</t>
        </is>
      </c>
      <c r="L14" s="11" t="inlineStr">
        <is>
          <t>Marcos (gerente)</t>
        </is>
      </c>
      <c r="M14" s="11" t="n"/>
      <c r="N14" s="11" t="inlineStr">
        <is>
          <t>Pedidos 99Food</t>
        </is>
      </c>
    </row>
    <row r="15">
      <c r="A15" s="24" t="n">
        <v>46243</v>
      </c>
      <c r="B15" s="11" t="inlineStr">
        <is>
          <t>Saída</t>
        </is>
      </c>
      <c r="C15" s="11" t="inlineStr">
        <is>
          <t>Despesa Variável</t>
        </is>
      </c>
      <c r="D15" s="11" t="inlineStr">
        <is>
          <t>Interno/N-A</t>
        </is>
      </c>
      <c r="E15" s="11" t="inlineStr">
        <is>
          <t>Débito</t>
        </is>
      </c>
      <c r="F15" s="25" t="n">
        <v>430</v>
      </c>
      <c r="G15" s="26">
        <f>IF($A15="","",IF($B15="Saída",0,IF($D15="iFood",taxa_ifood,IF($D15="Uber Eats",taxa_ubereats,IF($D15="99Food",taxa_99food,IF($E15="Débito",taxa_debito,IF($E15="Crédito à vista",taxa_credito_vista,IF($E15="Crédito parcelado",taxa_credito_parcelado,0))))))))</f>
        <v/>
      </c>
      <c r="H15" s="27">
        <f>IF($A15="","",IF($B15="Saída",$F15,$F15*(1-$G15)))</f>
        <v/>
      </c>
      <c r="I15" s="28">
        <f>IF($A15="","",IF($B15="Saída",$A15,IF($D15="iFood",$A15+prazo_ifood_dias,IF($D15="Uber Eats",$A15+prazo_ubereats_dias,IF($D15="99Food",$A15+prazo_99food_dias,IF($E15="Débito",$A15+prazo_debito_dias,IF(OR($E15="Crédito à vista",$E15="Crédito parcelado"),$A15+prazo_credito_dias,$A15)))))))</f>
        <v/>
      </c>
      <c r="J15" s="21">
        <f>IF($A15="","",IF($K15="Sim","Realizado",IF($I15&lt;=TODAY(),"A Confirmar","Previsto")))</f>
        <v/>
      </c>
      <c r="K15" s="11" t="inlineStr">
        <is>
          <t>Sim</t>
        </is>
      </c>
      <c r="L15" s="11" t="inlineStr">
        <is>
          <t>Ana (caixa)</t>
        </is>
      </c>
      <c r="M15" s="11" t="n"/>
      <c r="N15" s="11" t="inlineStr">
        <is>
          <t>Gás e descartáveis</t>
        </is>
      </c>
    </row>
    <row r="16">
      <c r="A16" s="24" t="n">
        <v>46244</v>
      </c>
      <c r="B16" s="11" t="inlineStr">
        <is>
          <t>Entrada</t>
        </is>
      </c>
      <c r="C16" s="11" t="inlineStr">
        <is>
          <t>Venda de Produto</t>
        </is>
      </c>
      <c r="D16" s="11" t="inlineStr">
        <is>
          <t>WhatsApp</t>
        </is>
      </c>
      <c r="E16" s="11" t="inlineStr">
        <is>
          <t>PIX</t>
        </is>
      </c>
      <c r="F16" s="25" t="n">
        <v>1460</v>
      </c>
      <c r="G16" s="26">
        <f>IF($A16="","",IF($B16="Saída",0,IF($D16="iFood",taxa_ifood,IF($D16="Uber Eats",taxa_ubereats,IF($D16="99Food",taxa_99food,IF($E16="Débito",taxa_debito,IF($E16="Crédito à vista",taxa_credito_vista,IF($E16="Crédito parcelado",taxa_credito_parcelado,0))))))))</f>
        <v/>
      </c>
      <c r="H16" s="27">
        <f>IF($A16="","",IF($B16="Saída",$F16,$F16*(1-$G16)))</f>
        <v/>
      </c>
      <c r="I16" s="28">
        <f>IF($A16="","",IF($B16="Saída",$A16,IF($D16="iFood",$A16+prazo_ifood_dias,IF($D16="Uber Eats",$A16+prazo_ubereats_dias,IF($D16="99Food",$A16+prazo_99food_dias,IF($E16="Débito",$A16+prazo_debito_dias,IF(OR($E16="Crédito à vista",$E16="Crédito parcelado"),$A16+prazo_credito_dias,$A16)))))))</f>
        <v/>
      </c>
      <c r="J16" s="21">
        <f>IF($A16="","",IF($K16="Sim","Realizado",IF($I16&lt;=TODAY(),"A Confirmar","Previsto")))</f>
        <v/>
      </c>
      <c r="K16" s="11" t="inlineStr">
        <is>
          <t>Sim</t>
        </is>
      </c>
      <c r="L16" s="11" t="inlineStr">
        <is>
          <t>Marcos (gerente)</t>
        </is>
      </c>
      <c r="M16" s="11" t="n"/>
      <c r="N16" s="11" t="inlineStr">
        <is>
          <t>Encomendas WhatsApp</t>
        </is>
      </c>
    </row>
    <row r="17">
      <c r="A17" s="24" t="n">
        <v>46245</v>
      </c>
      <c r="B17" s="11" t="inlineStr">
        <is>
          <t>Entrada</t>
        </is>
      </c>
      <c r="C17" s="11" t="inlineStr">
        <is>
          <t>Venda de Produto</t>
        </is>
      </c>
      <c r="D17" s="11" t="inlineStr">
        <is>
          <t>Balcão</t>
        </is>
      </c>
      <c r="E17" s="11" t="inlineStr">
        <is>
          <t>Crédito parcelado</t>
        </is>
      </c>
      <c r="F17" s="25" t="n">
        <v>2200</v>
      </c>
      <c r="G17" s="26">
        <f>IF($A17="","",IF($B17="Saída",0,IF($D17="iFood",taxa_ifood,IF($D17="Uber Eats",taxa_ubereats,IF($D17="99Food",taxa_99food,IF($E17="Débito",taxa_debito,IF($E17="Crédito à vista",taxa_credito_vista,IF($E17="Crédito parcelado",taxa_credito_parcelado,0))))))))</f>
        <v/>
      </c>
      <c r="H17" s="27">
        <f>IF($A17="","",IF($B17="Saída",$F17,$F17*(1-$G17)))</f>
        <v/>
      </c>
      <c r="I17" s="28">
        <f>IF($A17="","",IF($B17="Saída",$A17,IF($D17="iFood",$A17+prazo_ifood_dias,IF($D17="Uber Eats",$A17+prazo_ubereats_dias,IF($D17="99Food",$A17+prazo_99food_dias,IF($E17="Débito",$A17+prazo_debito_dias,IF(OR($E17="Crédito à vista",$E17="Crédito parcelado"),$A17+prazo_credito_dias,$A17)))))))</f>
        <v/>
      </c>
      <c r="J17" s="21">
        <f>IF($A17="","",IF($K17="Sim","Realizado",IF($I17&lt;=TODAY(),"A Confirmar","Previsto")))</f>
        <v/>
      </c>
      <c r="K17" s="11" t="inlineStr">
        <is>
          <t>Não</t>
        </is>
      </c>
      <c r="L17" s="11" t="inlineStr">
        <is>
          <t>Ana (caixa)</t>
        </is>
      </c>
      <c r="M17" s="11" t="n"/>
      <c r="N17" s="11" t="inlineStr">
        <is>
          <t>Confraternização — 3x</t>
        </is>
      </c>
    </row>
    <row r="18">
      <c r="A18" s="24" t="n">
        <v>46246</v>
      </c>
      <c r="B18" s="11" t="inlineStr">
        <is>
          <t>Saída</t>
        </is>
      </c>
      <c r="C18" s="11" t="inlineStr">
        <is>
          <t>Despesa Fixa</t>
        </is>
      </c>
      <c r="D18" s="11" t="inlineStr">
        <is>
          <t>Interno/N-A</t>
        </is>
      </c>
      <c r="E18" s="11" t="inlineStr">
        <is>
          <t>Débito</t>
        </is>
      </c>
      <c r="F18" s="25" t="n">
        <v>980</v>
      </c>
      <c r="G18" s="26">
        <f>IF($A18="","",IF($B18="Saída",0,IF($D18="iFood",taxa_ifood,IF($D18="Uber Eats",taxa_ubereats,IF($D18="99Food",taxa_99food,IF($E18="Débito",taxa_debito,IF($E18="Crédito à vista",taxa_credito_vista,IF($E18="Crédito parcelado",taxa_credito_parcelado,0))))))))</f>
        <v/>
      </c>
      <c r="H18" s="27">
        <f>IF($A18="","",IF($B18="Saída",$F18,$F18*(1-$G18)))</f>
        <v/>
      </c>
      <c r="I18" s="28">
        <f>IF($A18="","",IF($B18="Saída",$A18,IF($D18="iFood",$A18+prazo_ifood_dias,IF($D18="Uber Eats",$A18+prazo_ubereats_dias,IF($D18="99Food",$A18+prazo_99food_dias,IF($E18="Débito",$A18+prazo_debito_dias,IF(OR($E18="Crédito à vista",$E18="Crédito parcelado"),$A18+prazo_credito_dias,$A18)))))))</f>
        <v/>
      </c>
      <c r="J18" s="21">
        <f>IF($A18="","",IF($K18="Sim","Realizado",IF($I18&lt;=TODAY(),"A Confirmar","Previsto")))</f>
        <v/>
      </c>
      <c r="K18" s="11" t="inlineStr">
        <is>
          <t>Sim</t>
        </is>
      </c>
      <c r="L18" s="11" t="inlineStr">
        <is>
          <t>Marcos (gerente)</t>
        </is>
      </c>
      <c r="M18" s="11" t="n"/>
      <c r="N18" s="11" t="inlineStr">
        <is>
          <t>Energia elétrica</t>
        </is>
      </c>
    </row>
    <row r="19">
      <c r="A19" s="24" t="n">
        <v>46247</v>
      </c>
      <c r="B19" s="11" t="inlineStr">
        <is>
          <t>Entrada</t>
        </is>
      </c>
      <c r="C19" s="11" t="inlineStr">
        <is>
          <t>Venda de Produto</t>
        </is>
      </c>
      <c r="D19" s="11" t="inlineStr">
        <is>
          <t>Delivery Próprio</t>
        </is>
      </c>
      <c r="E19" s="11" t="inlineStr">
        <is>
          <t>Dinheiro</t>
        </is>
      </c>
      <c r="F19" s="25" t="n">
        <v>1540</v>
      </c>
      <c r="G19" s="26">
        <f>IF($A19="","",IF($B19="Saída",0,IF($D19="iFood",taxa_ifood,IF($D19="Uber Eats",taxa_ubereats,IF($D19="99Food",taxa_99food,IF($E19="Débito",taxa_debito,IF($E19="Crédito à vista",taxa_credito_vista,IF($E19="Crédito parcelado",taxa_credito_parcelado,0))))))))</f>
        <v/>
      </c>
      <c r="H19" s="27">
        <f>IF($A19="","",IF($B19="Saída",$F19,$F19*(1-$G19)))</f>
        <v/>
      </c>
      <c r="I19" s="28">
        <f>IF($A19="","",IF($B19="Saída",$A19,IF($D19="iFood",$A19+prazo_ifood_dias,IF($D19="Uber Eats",$A19+prazo_ubereats_dias,IF($D19="99Food",$A19+prazo_99food_dias,IF($E19="Débito",$A19+prazo_debito_dias,IF(OR($E19="Crédito à vista",$E19="Crédito parcelado"),$A19+prazo_credito_dias,$A19)))))))</f>
        <v/>
      </c>
      <c r="J19" s="21">
        <f>IF($A19="","",IF($K19="Sim","Realizado",IF($I19&lt;=TODAY(),"A Confirmar","Previsto")))</f>
        <v/>
      </c>
      <c r="K19" s="11" t="inlineStr">
        <is>
          <t>Sim</t>
        </is>
      </c>
      <c r="L19" s="11" t="inlineStr">
        <is>
          <t>Ana (caixa)</t>
        </is>
      </c>
      <c r="M19" s="11" t="n"/>
      <c r="N19" s="11" t="inlineStr">
        <is>
          <t>Entregas próprias</t>
        </is>
      </c>
    </row>
    <row r="20">
      <c r="A20" s="24" t="n">
        <v>46248</v>
      </c>
      <c r="B20" s="11" t="inlineStr">
        <is>
          <t>Entrada</t>
        </is>
      </c>
      <c r="C20" s="11" t="inlineStr">
        <is>
          <t>Venda de Produto</t>
        </is>
      </c>
      <c r="D20" s="11" t="inlineStr">
        <is>
          <t>iFood</t>
        </is>
      </c>
      <c r="E20" s="11" t="inlineStr">
        <is>
          <t>Crédito parcelado</t>
        </is>
      </c>
      <c r="F20" s="25" t="n">
        <v>1890</v>
      </c>
      <c r="G20" s="26">
        <f>IF($A20="","",IF($B20="Saída",0,IF($D20="iFood",taxa_ifood,IF($D20="Uber Eats",taxa_ubereats,IF($D20="99Food",taxa_99food,IF($E20="Débito",taxa_debito,IF($E20="Crédito à vista",taxa_credito_vista,IF($E20="Crédito parcelado",taxa_credito_parcelado,0))))))))</f>
        <v/>
      </c>
      <c r="H20" s="27">
        <f>IF($A20="","",IF($B20="Saída",$F20,$F20*(1-$G20)))</f>
        <v/>
      </c>
      <c r="I20" s="28">
        <f>IF($A20="","",IF($B20="Saída",$A20,IF($D20="iFood",$A20+prazo_ifood_dias,IF($D20="Uber Eats",$A20+prazo_ubereats_dias,IF($D20="99Food",$A20+prazo_99food_dias,IF($E20="Débito",$A20+prazo_debito_dias,IF(OR($E20="Crédito à vista",$E20="Crédito parcelado"),$A20+prazo_credito_dias,$A20)))))))</f>
        <v/>
      </c>
      <c r="J20" s="21">
        <f>IF($A20="","",IF($K20="Sim","Realizado",IF($I20&lt;=TODAY(),"A Confirmar","Previsto")))</f>
        <v/>
      </c>
      <c r="K20" s="11" t="inlineStr">
        <is>
          <t>Não</t>
        </is>
      </c>
      <c r="L20" s="11" t="inlineStr">
        <is>
          <t>Marcos (gerente)</t>
        </is>
      </c>
      <c r="M20" s="11" t="n"/>
      <c r="N20" s="11" t="inlineStr">
        <is>
          <t>Repasse iFood — fim de semana</t>
        </is>
      </c>
    </row>
    <row r="21">
      <c r="A21" s="24" t="n">
        <v>46249</v>
      </c>
      <c r="B21" s="11" t="inlineStr">
        <is>
          <t>Saída</t>
        </is>
      </c>
      <c r="C21" s="11" t="inlineStr">
        <is>
          <t>Despesa Fixa</t>
        </is>
      </c>
      <c r="D21" s="11" t="inlineStr">
        <is>
          <t>Interno/N-A</t>
        </is>
      </c>
      <c r="E21" s="11" t="inlineStr">
        <is>
          <t>PIX</t>
        </is>
      </c>
      <c r="F21" s="25" t="n">
        <v>3900</v>
      </c>
      <c r="G21" s="26">
        <f>IF($A21="","",IF($B21="Saída",0,IF($D21="iFood",taxa_ifood,IF($D21="Uber Eats",taxa_ubereats,IF($D21="99Food",taxa_99food,IF($E21="Débito",taxa_debito,IF($E21="Crédito à vista",taxa_credito_vista,IF($E21="Crédito parcelado",taxa_credito_parcelado,0))))))))</f>
        <v/>
      </c>
      <c r="H21" s="27">
        <f>IF($A21="","",IF($B21="Saída",$F21,$F21*(1-$G21)))</f>
        <v/>
      </c>
      <c r="I21" s="28">
        <f>IF($A21="","",IF($B21="Saída",$A21,IF($D21="iFood",$A21+prazo_ifood_dias,IF($D21="Uber Eats",$A21+prazo_ubereats_dias,IF($D21="99Food",$A21+prazo_99food_dias,IF($E21="Débito",$A21+prazo_debito_dias,IF(OR($E21="Crédito à vista",$E21="Crédito parcelado"),$A21+prazo_credito_dias,$A21)))))))</f>
        <v/>
      </c>
      <c r="J21" s="21">
        <f>IF($A21="","",IF($K21="Sim","Realizado",IF($I21&lt;=TODAY(),"A Confirmar","Previsto")))</f>
        <v/>
      </c>
      <c r="K21" s="11" t="inlineStr">
        <is>
          <t>Sim</t>
        </is>
      </c>
      <c r="L21" s="11" t="inlineStr">
        <is>
          <t>Ana (caixa)</t>
        </is>
      </c>
      <c r="M21" s="11" t="n"/>
      <c r="N21" s="11" t="inlineStr">
        <is>
          <t>Folha de pagamento</t>
        </is>
      </c>
    </row>
    <row r="22">
      <c r="A22" s="24" t="n">
        <v>46250</v>
      </c>
      <c r="B22" s="11" t="inlineStr">
        <is>
          <t>Entrada</t>
        </is>
      </c>
      <c r="C22" s="11" t="inlineStr">
        <is>
          <t>Venda de Produto</t>
        </is>
      </c>
      <c r="D22" s="11" t="inlineStr">
        <is>
          <t>Balcão</t>
        </is>
      </c>
      <c r="E22" s="11" t="inlineStr">
        <is>
          <t>Dinheiro</t>
        </is>
      </c>
      <c r="F22" s="25" t="n">
        <v>2410</v>
      </c>
      <c r="G22" s="26">
        <f>IF($A22="","",IF($B22="Saída",0,IF($D22="iFood",taxa_ifood,IF($D22="Uber Eats",taxa_ubereats,IF($D22="99Food",taxa_99food,IF($E22="Débito",taxa_debito,IF($E22="Crédito à vista",taxa_credito_vista,IF($E22="Crédito parcelado",taxa_credito_parcelado,0))))))))</f>
        <v/>
      </c>
      <c r="H22" s="27">
        <f>IF($A22="","",IF($B22="Saída",$F22,$F22*(1-$G22)))</f>
        <v/>
      </c>
      <c r="I22" s="28">
        <f>IF($A22="","",IF($B22="Saída",$A22,IF($D22="iFood",$A22+prazo_ifood_dias,IF($D22="Uber Eats",$A22+prazo_ubereats_dias,IF($D22="99Food",$A22+prazo_99food_dias,IF($E22="Débito",$A22+prazo_debito_dias,IF(OR($E22="Crédito à vista",$E22="Crédito parcelado"),$A22+prazo_credito_dias,$A22)))))))</f>
        <v/>
      </c>
      <c r="J22" s="21">
        <f>IF($A22="","",IF($K22="Sim","Realizado",IF($I22&lt;=TODAY(),"A Confirmar","Previsto")))</f>
        <v/>
      </c>
      <c r="K22" s="11" t="inlineStr">
        <is>
          <t>Sim</t>
        </is>
      </c>
      <c r="L22" s="11" t="inlineStr">
        <is>
          <t>Marcos (gerente)</t>
        </is>
      </c>
      <c r="M22" s="11" t="n"/>
      <c r="N22" s="11" t="inlineStr">
        <is>
          <t>Vendas do dia — balcão</t>
        </is>
      </c>
    </row>
    <row r="23">
      <c r="A23" s="24" t="n">
        <v>46251</v>
      </c>
      <c r="B23" s="11" t="inlineStr">
        <is>
          <t>Saída</t>
        </is>
      </c>
      <c r="C23" s="11" t="inlineStr">
        <is>
          <t>Despesa Variável</t>
        </is>
      </c>
      <c r="D23" s="11" t="inlineStr">
        <is>
          <t>Interno/N-A</t>
        </is>
      </c>
      <c r="E23" s="11" t="inlineStr">
        <is>
          <t>Dinheiro</t>
        </is>
      </c>
      <c r="F23" s="25" t="n">
        <v>290</v>
      </c>
      <c r="G23" s="26">
        <f>IF($A23="","",IF($B23="Saída",0,IF($D23="iFood",taxa_ifood,IF($D23="Uber Eats",taxa_ubereats,IF($D23="99Food",taxa_99food,IF($E23="Débito",taxa_debito,IF($E23="Crédito à vista",taxa_credito_vista,IF($E23="Crédito parcelado",taxa_credito_parcelado,0))))))))</f>
        <v/>
      </c>
      <c r="H23" s="27">
        <f>IF($A23="","",IF($B23="Saída",$F23,$F23*(1-$G23)))</f>
        <v/>
      </c>
      <c r="I23" s="28">
        <f>IF($A23="","",IF($B23="Saída",$A23,IF($D23="iFood",$A23+prazo_ifood_dias,IF($D23="Uber Eats",$A23+prazo_ubereats_dias,IF($D23="99Food",$A23+prazo_99food_dias,IF($E23="Débito",$A23+prazo_debito_dias,IF(OR($E23="Crédito à vista",$E23="Crédito parcelado"),$A23+prazo_credito_dias,$A23)))))))</f>
        <v/>
      </c>
      <c r="J23" s="21">
        <f>IF($A23="","",IF($K23="Sim","Realizado",IF($I23&lt;=TODAY(),"A Confirmar","Previsto")))</f>
        <v/>
      </c>
      <c r="K23" s="11" t="inlineStr">
        <is>
          <t>Não</t>
        </is>
      </c>
      <c r="L23" s="11" t="inlineStr">
        <is>
          <t>Ana (caixa)</t>
        </is>
      </c>
      <c r="M23" s="11" t="n"/>
      <c r="N23" s="11" t="inlineStr">
        <is>
          <t>Manutenção da coifa</t>
        </is>
      </c>
    </row>
    <row r="24">
      <c r="A24" s="24" t="n">
        <v>46252</v>
      </c>
      <c r="B24" s="11" t="inlineStr">
        <is>
          <t>Entrada</t>
        </is>
      </c>
      <c r="C24" s="11" t="inlineStr">
        <is>
          <t>Venda de Produto</t>
        </is>
      </c>
      <c r="D24" s="11" t="inlineStr">
        <is>
          <t>Balcão</t>
        </is>
      </c>
      <c r="E24" s="11" t="inlineStr">
        <is>
          <t>PIX</t>
        </is>
      </c>
      <c r="F24" s="25" t="n">
        <v>1930</v>
      </c>
      <c r="G24" s="26">
        <f>IF($A24="","",IF($B24="Saída",0,IF($D24="iFood",taxa_ifood,IF($D24="Uber Eats",taxa_ubereats,IF($D24="99Food",taxa_99food,IF($E24="Débito",taxa_debito,IF($E24="Crédito à vista",taxa_credito_vista,IF($E24="Crédito parcelado",taxa_credito_parcelado,0))))))))</f>
        <v/>
      </c>
      <c r="H24" s="27">
        <f>IF($A24="","",IF($B24="Saída",$F24,$F24*(1-$G24)))</f>
        <v/>
      </c>
      <c r="I24" s="28">
        <f>IF($A24="","",IF($B24="Saída",$A24,IF($D24="iFood",$A24+prazo_ifood_dias,IF($D24="Uber Eats",$A24+prazo_ubereats_dias,IF($D24="99Food",$A24+prazo_99food_dias,IF($E24="Débito",$A24+prazo_debito_dias,IF(OR($E24="Crédito à vista",$E24="Crédito parcelado"),$A24+prazo_credito_dias,$A24)))))))</f>
        <v/>
      </c>
      <c r="J24" s="21">
        <f>IF($A24="","",IF($K24="Sim","Realizado",IF($I24&lt;=TODAY(),"A Confirmar","Previsto")))</f>
        <v/>
      </c>
      <c r="K24" s="11" t="inlineStr">
        <is>
          <t>Sim</t>
        </is>
      </c>
      <c r="L24" s="11" t="inlineStr">
        <is>
          <t>Marcos (gerente)</t>
        </is>
      </c>
      <c r="M24" s="11" t="n"/>
      <c r="N24" s="11" t="inlineStr">
        <is>
          <t>Vendas do dia — balcão</t>
        </is>
      </c>
    </row>
    <row r="25">
      <c r="A25" s="24" t="n">
        <v>46253</v>
      </c>
      <c r="B25" s="11" t="inlineStr">
        <is>
          <t>Entrada</t>
        </is>
      </c>
      <c r="C25" s="11" t="inlineStr">
        <is>
          <t>Venda de Produto</t>
        </is>
      </c>
      <c r="D25" s="11" t="inlineStr">
        <is>
          <t>Balcão</t>
        </is>
      </c>
      <c r="E25" s="11" t="inlineStr">
        <is>
          <t>PIX</t>
        </is>
      </c>
      <c r="F25" s="25" t="n">
        <v>2450</v>
      </c>
      <c r="G25" s="26">
        <f>IF($A25="","",IF($B25="Saída",0,IF($D25="iFood",taxa_ifood,IF($D25="Uber Eats",taxa_ubereats,IF($D25="99Food",taxa_99food,IF($E25="Débito",taxa_debito,IF($E25="Crédito à vista",taxa_credito_vista,IF($E25="Crédito parcelado",taxa_credito_parcelado,0))))))))</f>
        <v/>
      </c>
      <c r="H25" s="27">
        <f>IF($A25="","",IF($B25="Saída",$F25,$F25*(1-$G25)))</f>
        <v/>
      </c>
      <c r="I25" s="28">
        <f>IF($A25="","",IF($B25="Saída",$A25,IF($D25="iFood",$A25+prazo_ifood_dias,IF($D25="Uber Eats",$A25+prazo_ubereats_dias,IF($D25="99Food",$A25+prazo_99food_dias,IF($E25="Débito",$A25+prazo_debito_dias,IF(OR($E25="Crédito à vista",$E25="Crédito parcelado"),$A25+prazo_credito_dias,$A25)))))))</f>
        <v/>
      </c>
      <c r="J25" s="21">
        <f>IF($A25="","",IF($K25="Sim","Realizado",IF($I25&lt;=TODAY(),"A Confirmar","Previsto")))</f>
        <v/>
      </c>
      <c r="K25" s="11" t="inlineStr">
        <is>
          <t>Sim</t>
        </is>
      </c>
      <c r="L25" s="11" t="inlineStr">
        <is>
          <t>Ana (caixa)</t>
        </is>
      </c>
      <c r="M25" s="11" t="n"/>
      <c r="N25" s="11" t="inlineStr">
        <is>
          <t>Vendas do dia — PIX</t>
        </is>
      </c>
    </row>
    <row r="26">
      <c r="A26" s="24" t="n">
        <v>46253</v>
      </c>
      <c r="B26" s="11" t="inlineStr">
        <is>
          <t>Entrada</t>
        </is>
      </c>
      <c r="C26" s="11" t="inlineStr">
        <is>
          <t>Venda de Produto</t>
        </is>
      </c>
      <c r="D26" s="11" t="inlineStr">
        <is>
          <t>99Food</t>
        </is>
      </c>
      <c r="E26" s="11" t="inlineStr">
        <is>
          <t>Crédito à vista</t>
        </is>
      </c>
      <c r="F26" s="25" t="n">
        <v>980</v>
      </c>
      <c r="G26" s="26">
        <f>IF($A26="","",IF($B26="Saída",0,IF($D26="iFood",taxa_ifood,IF($D26="Uber Eats",taxa_ubereats,IF($D26="99Food",taxa_99food,IF($E26="Débito",taxa_debito,IF($E26="Crédito à vista",taxa_credito_vista,IF($E26="Crédito parcelado",taxa_credito_parcelado,0))))))))</f>
        <v/>
      </c>
      <c r="H26" s="27">
        <f>IF($A26="","",IF($B26="Saída",$F26,$F26*(1-$G26)))</f>
        <v/>
      </c>
      <c r="I26" s="28">
        <f>IF($A26="","",IF($B26="Saída",$A26,IF($D26="iFood",$A26+prazo_ifood_dias,IF($D26="Uber Eats",$A26+prazo_ubereats_dias,IF($D26="99Food",$A26+prazo_99food_dias,IF($E26="Débito",$A26+prazo_debito_dias,IF(OR($E26="Crédito à vista",$E26="Crédito parcelado"),$A26+prazo_credito_dias,$A26)))))))</f>
        <v/>
      </c>
      <c r="J26" s="21">
        <f>IF($A26="","",IF($K26="Sim","Realizado",IF($I26&lt;=TODAY(),"A Confirmar","Previsto")))</f>
        <v/>
      </c>
      <c r="K26" s="11" t="inlineStr">
        <is>
          <t>Não</t>
        </is>
      </c>
      <c r="L26" s="11" t="inlineStr">
        <is>
          <t>Marcos (gerente)</t>
        </is>
      </c>
      <c r="M26" s="11" t="n"/>
      <c r="N26" s="11" t="inlineStr">
        <is>
          <t>Pedidos 99Food</t>
        </is>
      </c>
    </row>
    <row r="27">
      <c r="A27" s="24" t="n">
        <v>46254</v>
      </c>
      <c r="B27" s="11" t="inlineStr">
        <is>
          <t>Saída</t>
        </is>
      </c>
      <c r="C27" s="11" t="inlineStr">
        <is>
          <t>Despesa Variável</t>
        </is>
      </c>
      <c r="D27" s="11" t="inlineStr">
        <is>
          <t>Interno/N-A</t>
        </is>
      </c>
      <c r="E27" s="11" t="inlineStr">
        <is>
          <t>PIX</t>
        </is>
      </c>
      <c r="F27" s="25" t="n">
        <v>340</v>
      </c>
      <c r="G27" s="26">
        <f>IF($A27="","",IF($B27="Saída",0,IF($D27="iFood",taxa_ifood,IF($D27="Uber Eats",taxa_ubereats,IF($D27="99Food",taxa_99food,IF($E27="Débito",taxa_debito,IF($E27="Crédito à vista",taxa_credito_vista,IF($E27="Crédito parcelado",taxa_credito_parcelado,0))))))))</f>
        <v/>
      </c>
      <c r="H27" s="27">
        <f>IF($A27="","",IF($B27="Saída",$F27,$F27*(1-$G27)))</f>
        <v/>
      </c>
      <c r="I27" s="28">
        <f>IF($A27="","",IF($B27="Saída",$A27,IF($D27="iFood",$A27+prazo_ifood_dias,IF($D27="Uber Eats",$A27+prazo_ubereats_dias,IF($D27="99Food",$A27+prazo_99food_dias,IF($E27="Débito",$A27+prazo_debito_dias,IF(OR($E27="Crédito à vista",$E27="Crédito parcelado"),$A27+prazo_credito_dias,$A27)))))))</f>
        <v/>
      </c>
      <c r="J27" s="21">
        <f>IF($A27="","",IF($K27="Sim","Realizado",IF($I27&lt;=TODAY(),"A Confirmar","Previsto")))</f>
        <v/>
      </c>
      <c r="K27" s="11" t="inlineStr">
        <is>
          <t>Sim</t>
        </is>
      </c>
      <c r="L27" s="11" t="inlineStr">
        <is>
          <t>Ana (caixa)</t>
        </is>
      </c>
      <c r="M27" s="11" t="n"/>
      <c r="N27" s="11" t="inlineStr">
        <is>
          <t>Manutenção de equipamento</t>
        </is>
      </c>
    </row>
    <row r="28">
      <c r="A28" s="24" t="n">
        <v>46254</v>
      </c>
      <c r="B28" s="11" t="inlineStr">
        <is>
          <t>Entrada</t>
        </is>
      </c>
      <c r="C28" s="11" t="inlineStr">
        <is>
          <t>Venda de Produto</t>
        </is>
      </c>
      <c r="D28" s="11" t="inlineStr">
        <is>
          <t>WhatsApp</t>
        </is>
      </c>
      <c r="E28" s="11" t="inlineStr">
        <is>
          <t>Dinheiro</t>
        </is>
      </c>
      <c r="F28" s="25" t="n">
        <v>610</v>
      </c>
      <c r="G28" s="26">
        <f>IF($A28="","",IF($B28="Saída",0,IF($D28="iFood",taxa_ifood,IF($D28="Uber Eats",taxa_ubereats,IF($D28="99Food",taxa_99food,IF($E28="Débito",taxa_debito,IF($E28="Crédito à vista",taxa_credito_vista,IF($E28="Crédito parcelado",taxa_credito_parcelado,0))))))))</f>
        <v/>
      </c>
      <c r="H28" s="27">
        <f>IF($A28="","",IF($B28="Saída",$F28,$F28*(1-$G28)))</f>
        <v/>
      </c>
      <c r="I28" s="28">
        <f>IF($A28="","",IF($B28="Saída",$A28,IF($D28="iFood",$A28+prazo_ifood_dias,IF($D28="Uber Eats",$A28+prazo_ubereats_dias,IF($D28="99Food",$A28+prazo_99food_dias,IF($E28="Débito",$A28+prazo_debito_dias,IF(OR($E28="Crédito à vista",$E28="Crédito parcelado"),$A28+prazo_credito_dias,$A28)))))))</f>
        <v/>
      </c>
      <c r="J28" s="21">
        <f>IF($A28="","",IF($K28="Sim","Realizado",IF($I28&lt;=TODAY(),"A Confirmar","Previsto")))</f>
        <v/>
      </c>
      <c r="K28" s="11" t="inlineStr">
        <is>
          <t>Sim</t>
        </is>
      </c>
      <c r="L28" s="11" t="inlineStr">
        <is>
          <t>Marcos (gerente)</t>
        </is>
      </c>
      <c r="M28" s="11" t="n"/>
      <c r="N28" s="11" t="inlineStr">
        <is>
          <t>Pedidos via WhatsApp</t>
        </is>
      </c>
    </row>
    <row r="29">
      <c r="A29" s="24" t="n">
        <v>46255</v>
      </c>
      <c r="B29" s="11" t="inlineStr">
        <is>
          <t>Entrada</t>
        </is>
      </c>
      <c r="C29" s="11" t="inlineStr">
        <is>
          <t>Venda de Produto</t>
        </is>
      </c>
      <c r="D29" s="11" t="inlineStr">
        <is>
          <t>Balcão</t>
        </is>
      </c>
      <c r="E29" s="11" t="inlineStr">
        <is>
          <t>Crédito parcelado</t>
        </is>
      </c>
      <c r="F29" s="25" t="n">
        <v>1520</v>
      </c>
      <c r="G29" s="26">
        <f>IF($A29="","",IF($B29="Saída",0,IF($D29="iFood",taxa_ifood,IF($D29="Uber Eats",taxa_ubereats,IF($D29="99Food",taxa_99food,IF($E29="Débito",taxa_debito,IF($E29="Crédito à vista",taxa_credito_vista,IF($E29="Crédito parcelado",taxa_credito_parcelado,0))))))))</f>
        <v/>
      </c>
      <c r="H29" s="27">
        <f>IF($A29="","",IF($B29="Saída",$F29,$F29*(1-$G29)))</f>
        <v/>
      </c>
      <c r="I29" s="28">
        <f>IF($A29="","",IF($B29="Saída",$A29,IF($D29="iFood",$A29+prazo_ifood_dias,IF($D29="Uber Eats",$A29+prazo_ubereats_dias,IF($D29="99Food",$A29+prazo_99food_dias,IF($E29="Débito",$A29+prazo_debito_dias,IF(OR($E29="Crédito à vista",$E29="Crédito parcelado"),$A29+prazo_credito_dias,$A29)))))))</f>
        <v/>
      </c>
      <c r="J29" s="21">
        <f>IF($A29="","",IF($K29="Sim","Realizado",IF($I29&lt;=TODAY(),"A Confirmar","Previsto")))</f>
        <v/>
      </c>
      <c r="K29" s="11" t="inlineStr">
        <is>
          <t>Não</t>
        </is>
      </c>
      <c r="L29" s="11" t="inlineStr">
        <is>
          <t>Ana (caixa)</t>
        </is>
      </c>
      <c r="M29" s="11" t="n"/>
      <c r="N29" s="11" t="inlineStr">
        <is>
          <t>Vendas do dia — crédito parcelado</t>
        </is>
      </c>
    </row>
    <row r="30">
      <c r="A30" s="24" t="n">
        <v>46256</v>
      </c>
      <c r="B30" s="11" t="inlineStr">
        <is>
          <t>Saída</t>
        </is>
      </c>
      <c r="C30" s="11" t="inlineStr">
        <is>
          <t>Compra de Insumo</t>
        </is>
      </c>
      <c r="D30" s="11" t="inlineStr">
        <is>
          <t>Interno/N-A</t>
        </is>
      </c>
      <c r="E30" s="11" t="inlineStr">
        <is>
          <t>Dinheiro</t>
        </is>
      </c>
      <c r="F30" s="25" t="n">
        <v>890</v>
      </c>
      <c r="G30" s="26">
        <f>IF($A30="","",IF($B30="Saída",0,IF($D30="iFood",taxa_ifood,IF($D30="Uber Eats",taxa_ubereats,IF($D30="99Food",taxa_99food,IF($E30="Débito",taxa_debito,IF($E30="Crédito à vista",taxa_credito_vista,IF($E30="Crédito parcelado",taxa_credito_parcelado,0))))))))</f>
        <v/>
      </c>
      <c r="H30" s="27">
        <f>IF($A30="","",IF($B30="Saída",$F30,$F30*(1-$G30)))</f>
        <v/>
      </c>
      <c r="I30" s="28">
        <f>IF($A30="","",IF($B30="Saída",$A30,IF($D30="iFood",$A30+prazo_ifood_dias,IF($D30="Uber Eats",$A30+prazo_ubereats_dias,IF($D30="99Food",$A30+prazo_99food_dias,IF($E30="Débito",$A30+prazo_debito_dias,IF(OR($E30="Crédito à vista",$E30="Crédito parcelado"),$A30+prazo_credito_dias,$A30)))))))</f>
        <v/>
      </c>
      <c r="J30" s="21">
        <f>IF($A30="","",IF($K30="Sim","Realizado",IF($I30&lt;=TODAY(),"A Confirmar","Previsto")))</f>
        <v/>
      </c>
      <c r="K30" s="11" t="inlineStr">
        <is>
          <t>Sim</t>
        </is>
      </c>
      <c r="L30" s="11" t="inlineStr">
        <is>
          <t>Marcos (gerente)</t>
        </is>
      </c>
      <c r="M30" s="11" t="n"/>
      <c r="N30" s="11" t="inlineStr">
        <is>
          <t>Hortifruti — feira</t>
        </is>
      </c>
    </row>
    <row r="31">
      <c r="A31" s="24" t="n">
        <v>46256</v>
      </c>
      <c r="B31" s="11" t="inlineStr">
        <is>
          <t>Entrada</t>
        </is>
      </c>
      <c r="C31" s="11" t="inlineStr">
        <is>
          <t>Venda de Produto</t>
        </is>
      </c>
      <c r="D31" s="11" t="inlineStr">
        <is>
          <t>Delivery Próprio</t>
        </is>
      </c>
      <c r="E31" s="11" t="inlineStr">
        <is>
          <t>Dinheiro</t>
        </is>
      </c>
      <c r="F31" s="25" t="n">
        <v>1150</v>
      </c>
      <c r="G31" s="26">
        <f>IF($A31="","",IF($B31="Saída",0,IF($D31="iFood",taxa_ifood,IF($D31="Uber Eats",taxa_ubereats,IF($D31="99Food",taxa_99food,IF($E31="Débito",taxa_debito,IF($E31="Crédito à vista",taxa_credito_vista,IF($E31="Crédito parcelado",taxa_credito_parcelado,0))))))))</f>
        <v/>
      </c>
      <c r="H31" s="27">
        <f>IF($A31="","",IF($B31="Saída",$F31,$F31*(1-$G31)))</f>
        <v/>
      </c>
      <c r="I31" s="28">
        <f>IF($A31="","",IF($B31="Saída",$A31,IF($D31="iFood",$A31+prazo_ifood_dias,IF($D31="Uber Eats",$A31+prazo_ubereats_dias,IF($D31="99Food",$A31+prazo_99food_dias,IF($E31="Débito",$A31+prazo_debito_dias,IF(OR($E31="Crédito à vista",$E31="Crédito parcelado"),$A31+prazo_credito_dias,$A31)))))))</f>
        <v/>
      </c>
      <c r="J31" s="21">
        <f>IF($A31="","",IF($K31="Sim","Realizado",IF($I31&lt;=TODAY(),"A Confirmar","Previsto")))</f>
        <v/>
      </c>
      <c r="K31" s="11" t="inlineStr">
        <is>
          <t>Sim</t>
        </is>
      </c>
      <c r="L31" s="11" t="inlineStr">
        <is>
          <t>Ana (caixa)</t>
        </is>
      </c>
      <c r="M31" s="11" t="n"/>
      <c r="N31" s="11" t="inlineStr">
        <is>
          <t>Entregas próprias do dia</t>
        </is>
      </c>
    </row>
    <row r="32">
      <c r="A32" s="24" t="n">
        <v>46256</v>
      </c>
      <c r="B32" s="11" t="inlineStr">
        <is>
          <t>Saída</t>
        </is>
      </c>
      <c r="C32" s="11" t="inlineStr">
        <is>
          <t>Despesa Fixa</t>
        </is>
      </c>
      <c r="D32" s="11" t="inlineStr">
        <is>
          <t>Interno/N-A</t>
        </is>
      </c>
      <c r="E32" s="11" t="inlineStr">
        <is>
          <t>PIX</t>
        </is>
      </c>
      <c r="F32" s="25" t="n">
        <v>450</v>
      </c>
      <c r="G32" s="26">
        <f>IF($A32="","",IF($B32="Saída",0,IF($D32="iFood",taxa_ifood,IF($D32="Uber Eats",taxa_ubereats,IF($D32="99Food",taxa_99food,IF($E32="Débito",taxa_debito,IF($E32="Crédito à vista",taxa_credito_vista,IF($E32="Crédito parcelado",taxa_credito_parcelado,0))))))))</f>
        <v/>
      </c>
      <c r="H32" s="27">
        <f>IF($A32="","",IF($B32="Saída",$F32,$F32*(1-$G32)))</f>
        <v/>
      </c>
      <c r="I32" s="28">
        <f>IF($A32="","",IF($B32="Saída",$A32,IF($D32="iFood",$A32+prazo_ifood_dias,IF($D32="Uber Eats",$A32+prazo_ubereats_dias,IF($D32="99Food",$A32+prazo_99food_dias,IF($E32="Débito",$A32+prazo_debito_dias,IF(OR($E32="Crédito à vista",$E32="Crédito parcelado"),$A32+prazo_credito_dias,$A32)))))))</f>
        <v/>
      </c>
      <c r="J32" s="21">
        <f>IF($A32="","",IF($K32="Sim","Realizado",IF($I32&lt;=TODAY(),"A Confirmar","Previsto")))</f>
        <v/>
      </c>
      <c r="K32" s="11" t="inlineStr">
        <is>
          <t>Sim</t>
        </is>
      </c>
      <c r="L32" s="11" t="inlineStr">
        <is>
          <t>Marcos (gerente)</t>
        </is>
      </c>
      <c r="M32" s="11" t="n"/>
      <c r="N32" s="11" t="inlineStr">
        <is>
          <t>Internet e telefone</t>
        </is>
      </c>
    </row>
    <row r="33">
      <c r="A33" s="24" t="n">
        <v>46256</v>
      </c>
      <c r="B33" s="11" t="inlineStr">
        <is>
          <t>Entrada</t>
        </is>
      </c>
      <c r="C33" s="11" t="inlineStr">
        <is>
          <t>Venda de Produto</t>
        </is>
      </c>
      <c r="D33" s="11" t="inlineStr">
        <is>
          <t>iFood</t>
        </is>
      </c>
      <c r="E33" s="11" t="inlineStr">
        <is>
          <t>Débito</t>
        </is>
      </c>
      <c r="F33" s="25" t="n">
        <v>1780</v>
      </c>
      <c r="G33" s="26">
        <f>IF($A33="","",IF($B33="Saída",0,IF($D33="iFood",taxa_ifood,IF($D33="Uber Eats",taxa_ubereats,IF($D33="99Food",taxa_99food,IF($E33="Débito",taxa_debito,IF($E33="Crédito à vista",taxa_credito_vista,IF($E33="Crédito parcelado",taxa_credito_parcelado,0))))))))</f>
        <v/>
      </c>
      <c r="H33" s="27">
        <f>IF($A33="","",IF($B33="Saída",$F33,$F33*(1-$G33)))</f>
        <v/>
      </c>
      <c r="I33" s="28">
        <f>IF($A33="","",IF($B33="Saída",$A33,IF($D33="iFood",$A33+prazo_ifood_dias,IF($D33="Uber Eats",$A33+prazo_ubereats_dias,IF($D33="99Food",$A33+prazo_99food_dias,IF($E33="Débito",$A33+prazo_debito_dias,IF(OR($E33="Crédito à vista",$E33="Crédito parcelado"),$A33+prazo_credito_dias,$A33)))))))</f>
        <v/>
      </c>
      <c r="J33" s="21">
        <f>IF($A33="","",IF($K33="Sim","Realizado",IF($I33&lt;=TODAY(),"A Confirmar","Previsto")))</f>
        <v/>
      </c>
      <c r="K33" s="11" t="inlineStr">
        <is>
          <t>Não</t>
        </is>
      </c>
      <c r="L33" s="11" t="inlineStr">
        <is>
          <t>Ana (caixa)</t>
        </is>
      </c>
      <c r="M33" s="11" t="n"/>
      <c r="N33" s="11" t="inlineStr">
        <is>
          <t>Pedidos iFood</t>
        </is>
      </c>
    </row>
    <row r="34">
      <c r="A34" s="24" t="n">
        <v>46256</v>
      </c>
      <c r="B34" s="11" t="inlineStr">
        <is>
          <t>Saída</t>
        </is>
      </c>
      <c r="C34" s="11" t="inlineStr">
        <is>
          <t>Outros</t>
        </is>
      </c>
      <c r="D34" s="11" t="inlineStr">
        <is>
          <t>Interno/N-A</t>
        </is>
      </c>
      <c r="E34" s="11" t="inlineStr">
        <is>
          <t>Dinheiro</t>
        </is>
      </c>
      <c r="F34" s="25" t="n">
        <v>200</v>
      </c>
      <c r="G34" s="26">
        <f>IF($A34="","",IF($B34="Saída",0,IF($D34="iFood",taxa_ifood,IF($D34="Uber Eats",taxa_ubereats,IF($D34="99Food",taxa_99food,IF($E34="Débito",taxa_debito,IF($E34="Crédito à vista",taxa_credito_vista,IF($E34="Crédito parcelado",taxa_credito_parcelado,0))))))))</f>
        <v/>
      </c>
      <c r="H34" s="27">
        <f>IF($A34="","",IF($B34="Saída",$F34,$F34*(1-$G34)))</f>
        <v/>
      </c>
      <c r="I34" s="28">
        <f>IF($A34="","",IF($B34="Saída",$A34,IF($D34="iFood",$A34+prazo_ifood_dias,IF($D34="Uber Eats",$A34+prazo_ubereats_dias,IF($D34="99Food",$A34+prazo_99food_dias,IF($E34="Débito",$A34+prazo_debito_dias,IF(OR($E34="Crédito à vista",$E34="Crédito parcelado"),$A34+prazo_credito_dias,$A34)))))))</f>
        <v/>
      </c>
      <c r="J34" s="21">
        <f>IF($A34="","",IF($K34="Sim","Realizado",IF($I34&lt;=TODAY(),"A Confirmar","Previsto")))</f>
        <v/>
      </c>
      <c r="K34" s="11" t="inlineStr">
        <is>
          <t>Sim</t>
        </is>
      </c>
      <c r="L34" s="11" t="inlineStr">
        <is>
          <t>Marcos (gerente)</t>
        </is>
      </c>
      <c r="M34" s="11" t="n"/>
      <c r="N34" s="11" t="inlineStr">
        <is>
          <t>Taxas bancárias</t>
        </is>
      </c>
    </row>
    <row r="35" ht="24" customHeight="1">
      <c r="A35" s="29" t="inlineStr">
        <is>
          <t>◆ Limite da versão demonstrativa atingido (30 lançamentos). Versão completa: 3.000 lançamentos, contas a pagar/receber e relatório sem marca d'água.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8235"/>
  <autoFilter ref="A4:N34"/>
  <mergeCells count="3">
    <mergeCell ref="A35:N35"/>
    <mergeCell ref="A3:N3"/>
    <mergeCell ref="A1:N1"/>
  </mergeCells>
  <conditionalFormatting sqref="J5:J34">
    <cfRule type="expression" priority="1" dxfId="0">
      <formula>$J5="Realizado"</formula>
    </cfRule>
    <cfRule type="expression" priority="2" dxfId="1">
      <formula>$J5="A Confirmar"</formula>
    </cfRule>
  </conditionalFormatting>
  <dataValidations count="7">
    <dataValidation sqref="B5:B34" showDropDown="0" showInputMessage="0" showErrorMessage="0" allowBlank="1" type="list">
      <formula1>"Entrada,Saída"</formula1>
    </dataValidation>
    <dataValidation sqref="C5:C34" showDropDown="0" showInputMessage="0" showErrorMessage="0" allowBlank="1" type="list">
      <formula1>='CONFIG'!$B$27:$B$41</formula1>
    </dataValidation>
    <dataValidation sqref="D5:D34" showDropDown="0" showInputMessage="0" showErrorMessage="0" allowBlank="1" type="list">
      <formula1>='CONFIG'!$B$45:$B$56</formula1>
    </dataValidation>
    <dataValidation sqref="E5:E34" showDropDown="0" showInputMessage="0" showErrorMessage="0" allowBlank="1" type="list">
      <formula1>"Dinheiro,PIX,Débito,Crédito à vista,Crédito parcelado"</formula1>
    </dataValidation>
    <dataValidation sqref="F5:F34" showDropDown="0" showInputMessage="0" showErrorMessage="0" allowBlank="1" errorTitle="Valor inválido" error="Informe um valor em reais igual ou maior que zero." type="decimal" operator="greaterThanOrEqual">
      <formula1>0</formula1>
    </dataValidation>
    <dataValidation sqref="K5:K34" showDropDown="0" showInputMessage="0" showErrorMessage="0" allowBlank="1" type="list">
      <formula1>"Sim,Não"</formula1>
    </dataValidation>
    <dataValidation sqref="L5:L34" showDropDown="0" showInputMessage="0" showErrorMessage="0" allowBlank="1" type="list">
      <formula1>='CONFIG'!$B$68:$B$77</formula1>
    </dataValidation>
  </dataValidations>
  <hyperlinks>
    <hyperlink ref="B2" location="'INÍCIO'!A1"/>
    <hyperlink ref="C2" location="'CONFIG'!A1"/>
    <hyperlink ref="D2" location="'CONTAS A PAGAR-RECEBER'!A1"/>
    <hyperlink ref="E2" location="'FLUXO DE CAIXA'!A1"/>
    <hyperlink ref="F2" location="'DASHBOARD'!A1"/>
    <hyperlink ref="G2" location="'RELATÓRIO'!A1"/>
    <hyperlink ref="H2" location="'DÚVIDAS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4" customWidth="1" min="4" max="4"/>
    <col width="14" customWidth="1" min="5" max="5"/>
    <col width="10" customWidth="1" min="6" max="6"/>
    <col width="14" customWidth="1" min="7" max="7"/>
    <col width="32" customWidth="1" min="8" max="8"/>
    <col hidden="1" width="13" customWidth="1" min="10" max="10"/>
  </cols>
  <sheetData>
    <row r="1" ht="26" customHeight="1">
      <c r="A1" s="10" t="inlineStr">
        <is>
          <t>W.D.S. — CONTAS A PAGAR / RECEBER</t>
        </is>
      </c>
    </row>
    <row r="2" ht="16" customHeight="1">
      <c r="A2" s="9" t="inlineStr">
        <is>
          <t>Ir para:</t>
        </is>
      </c>
      <c r="B2" s="8" t="inlineStr">
        <is>
          <t>INÍCIO</t>
        </is>
      </c>
      <c r="C2" s="8" t="inlineStr">
        <is>
          <t>CONFIG</t>
        </is>
      </c>
      <c r="D2" s="8" t="inlineStr">
        <is>
          <t>LANÇAMENTOS</t>
        </is>
      </c>
      <c r="E2" s="8" t="inlineStr">
        <is>
          <t>FLUXO DE CAIXA</t>
        </is>
      </c>
      <c r="F2" s="8" t="inlineStr">
        <is>
          <t>DASHBOARD</t>
        </is>
      </c>
      <c r="G2" s="8" t="inlineStr">
        <is>
          <t>RELATÓRIO</t>
        </is>
      </c>
      <c r="H2" s="8" t="inlineStr">
        <is>
          <t>DÚVIDAS</t>
        </is>
      </c>
    </row>
    <row r="3" ht="24" customHeight="1">
      <c r="A3" s="29" t="inlineStr">
        <is>
          <t>◆ Recurso disponível na versão completa. Nesta versão demonstrativa a aba fica visível para você ver como funciona, mas não aceita lançamentos.</t>
        </is>
      </c>
    </row>
    <row r="4" ht="30" customHeight="1">
      <c r="A4" s="23" t="inlineStr">
        <is>
          <t>Descrição</t>
        </is>
      </c>
      <c r="B4" s="23" t="inlineStr">
        <is>
          <t>Tipo</t>
        </is>
      </c>
      <c r="C4" s="23" t="inlineStr">
        <is>
          <t>Fornecedor/Cliente</t>
        </is>
      </c>
      <c r="D4" s="23" t="inlineStr">
        <is>
          <t>Vencimento</t>
        </is>
      </c>
      <c r="E4" s="23" t="inlineStr">
        <is>
          <t>Valor (R$)</t>
        </is>
      </c>
      <c r="F4" s="23" t="inlineStr">
        <is>
          <t>Pago</t>
        </is>
      </c>
      <c r="G4" s="23" t="inlineStr">
        <is>
          <t>Status</t>
        </is>
      </c>
      <c r="H4" s="23" t="inlineStr">
        <is>
          <t>Observação</t>
        </is>
      </c>
      <c r="J4" t="inlineStr">
        <is>
          <t>chave de ordenação (uso interno)</t>
        </is>
      </c>
    </row>
    <row r="5">
      <c r="A5" s="21" t="n"/>
      <c r="B5" s="21" t="n"/>
      <c r="C5" s="21" t="n"/>
      <c r="D5" s="28" t="n"/>
      <c r="E5" s="27" t="n"/>
      <c r="F5" s="21" t="n"/>
      <c r="G5" s="21">
        <f>IF($A5="","",IF($F5="Sim","Pago",IF($D5&lt;TODAY(),"Atrasado","Pendente")))</f>
        <v/>
      </c>
      <c r="H5" s="21" t="n"/>
      <c r="J5" s="21">
        <f>IF($A5="","",IF($F5="Sim","",IF($D5&gt;TODAY()+30,"",$D5+ROW()/1000000)))</f>
        <v/>
      </c>
    </row>
    <row r="6">
      <c r="A6" s="21" t="n"/>
      <c r="B6" s="21" t="n"/>
      <c r="C6" s="21" t="n"/>
      <c r="D6" s="28" t="n"/>
      <c r="E6" s="27" t="n"/>
      <c r="F6" s="21" t="n"/>
      <c r="G6" s="21">
        <f>IF($A6="","",IF($F6="Sim","Pago",IF($D6&lt;TODAY(),"Atrasado","Pendente")))</f>
        <v/>
      </c>
      <c r="H6" s="21" t="n"/>
      <c r="J6" s="21">
        <f>IF($A6="","",IF($F6="Sim","",IF($D6&gt;TODAY()+30,"",$D6+ROW()/1000000)))</f>
        <v/>
      </c>
    </row>
    <row r="7">
      <c r="A7" s="21" t="n"/>
      <c r="B7" s="21" t="n"/>
      <c r="C7" s="21" t="n"/>
      <c r="D7" s="28" t="n"/>
      <c r="E7" s="27" t="n"/>
      <c r="F7" s="21" t="n"/>
      <c r="G7" s="21">
        <f>IF($A7="","",IF($F7="Sim","Pago",IF($D7&lt;TODAY(),"Atrasado","Pendente")))</f>
        <v/>
      </c>
      <c r="H7" s="21" t="n"/>
      <c r="J7" s="21">
        <f>IF($A7="","",IF($F7="Sim","",IF($D7&gt;TODAY()+30,"",$D7+ROW()/1000000)))</f>
        <v/>
      </c>
    </row>
    <row r="8">
      <c r="A8" s="21" t="n"/>
      <c r="B8" s="21" t="n"/>
      <c r="C8" s="21" t="n"/>
      <c r="D8" s="28" t="n"/>
      <c r="E8" s="27" t="n"/>
      <c r="F8" s="21" t="n"/>
      <c r="G8" s="21">
        <f>IF($A8="","",IF($F8="Sim","Pago",IF($D8&lt;TODAY(),"Atrasado","Pendente")))</f>
        <v/>
      </c>
      <c r="H8" s="21" t="n"/>
      <c r="J8" s="21">
        <f>IF($A8="","",IF($F8="Sim","",IF($D8&gt;TODAY()+30,"",$D8+ROW()/1000000)))</f>
        <v/>
      </c>
    </row>
    <row r="9">
      <c r="A9" s="21" t="n"/>
      <c r="B9" s="21" t="n"/>
      <c r="C9" s="21" t="n"/>
      <c r="D9" s="28" t="n"/>
      <c r="E9" s="27" t="n"/>
      <c r="F9" s="21" t="n"/>
      <c r="G9" s="21">
        <f>IF($A9="","",IF($F9="Sim","Pago",IF($D9&lt;TODAY(),"Atrasado","Pendente")))</f>
        <v/>
      </c>
      <c r="H9" s="21" t="n"/>
      <c r="J9" s="21">
        <f>IF($A9="","",IF($F9="Sim","",IF($D9&gt;TODAY()+30,"",$D9+ROW()/1000000)))</f>
        <v/>
      </c>
    </row>
    <row r="10">
      <c r="A10" s="21" t="n"/>
      <c r="B10" s="21" t="n"/>
      <c r="C10" s="21" t="n"/>
      <c r="D10" s="28" t="n"/>
      <c r="E10" s="27" t="n"/>
      <c r="F10" s="21" t="n"/>
      <c r="G10" s="21">
        <f>IF($A10="","",IF($F10="Sim","Pago",IF($D10&lt;TODAY(),"Atrasado","Pendente")))</f>
        <v/>
      </c>
      <c r="H10" s="21" t="n"/>
      <c r="J10" s="21">
        <f>IF($A10="","",IF($F10="Sim","",IF($D10&gt;TODAY()+30,"",$D10+ROW()/1000000)))</f>
        <v/>
      </c>
    </row>
    <row r="11">
      <c r="A11" s="21" t="n"/>
      <c r="B11" s="21" t="n"/>
      <c r="C11" s="21" t="n"/>
      <c r="D11" s="28" t="n"/>
      <c r="E11" s="27" t="n"/>
      <c r="F11" s="21" t="n"/>
      <c r="G11" s="21">
        <f>IF($A11="","",IF($F11="Sim","Pago",IF($D11&lt;TODAY(),"Atrasado","Pendente")))</f>
        <v/>
      </c>
      <c r="H11" s="21" t="n"/>
      <c r="J11" s="21">
        <f>IF($A11="","",IF($F11="Sim","",IF($D11&gt;TODAY()+30,"",$D11+ROW()/1000000)))</f>
        <v/>
      </c>
    </row>
    <row r="12">
      <c r="A12" s="21" t="n"/>
      <c r="B12" s="21" t="n"/>
      <c r="C12" s="21" t="n"/>
      <c r="D12" s="28" t="n"/>
      <c r="E12" s="27" t="n"/>
      <c r="F12" s="21" t="n"/>
      <c r="G12" s="21">
        <f>IF($A12="","",IF($F12="Sim","Pago",IF($D12&lt;TODAY(),"Atrasado","Pendente")))</f>
        <v/>
      </c>
      <c r="H12" s="21" t="n"/>
      <c r="J12" s="21">
        <f>IF($A12="","",IF($F12="Sim","",IF($D12&gt;TODAY()+30,"",$D12+ROW()/1000000)))</f>
        <v/>
      </c>
    </row>
    <row r="13">
      <c r="A13" s="21" t="n"/>
      <c r="B13" s="21" t="n"/>
      <c r="C13" s="21" t="n"/>
      <c r="D13" s="28" t="n"/>
      <c r="E13" s="27" t="n"/>
      <c r="F13" s="21" t="n"/>
      <c r="G13" s="21">
        <f>IF($A13="","",IF($F13="Sim","Pago",IF($D13&lt;TODAY(),"Atrasado","Pendente")))</f>
        <v/>
      </c>
      <c r="H13" s="21" t="n"/>
      <c r="J13" s="21">
        <f>IF($A13="","",IF($F13="Sim","",IF($D13&gt;TODAY()+30,"",$D13+ROW()/1000000)))</f>
        <v/>
      </c>
    </row>
    <row r="14">
      <c r="A14" s="21" t="n"/>
      <c r="B14" s="21" t="n"/>
      <c r="C14" s="21" t="n"/>
      <c r="D14" s="28" t="n"/>
      <c r="E14" s="27" t="n"/>
      <c r="F14" s="21" t="n"/>
      <c r="G14" s="21">
        <f>IF($A14="","",IF($F14="Sim","Pago",IF($D14&lt;TODAY(),"Atrasado","Pendente")))</f>
        <v/>
      </c>
      <c r="H14" s="21" t="n"/>
      <c r="J14" s="21">
        <f>IF($A14="","",IF($F14="Sim","",IF($D14&gt;TODAY()+30,"",$D14+ROW()/1000000)))</f>
        <v/>
      </c>
    </row>
    <row r="15">
      <c r="A15" s="21" t="n"/>
      <c r="B15" s="21" t="n"/>
      <c r="C15" s="21" t="n"/>
      <c r="D15" s="28" t="n"/>
      <c r="E15" s="27" t="n"/>
      <c r="F15" s="21" t="n"/>
      <c r="G15" s="21">
        <f>IF($A15="","",IF($F15="Sim","Pago",IF($D15&lt;TODAY(),"Atrasado","Pendente")))</f>
        <v/>
      </c>
      <c r="H15" s="21" t="n"/>
      <c r="J15" s="21">
        <f>IF($A15="","",IF($F15="Sim","",IF($D15&gt;TODAY()+30,"",$D15+ROW()/1000000)))</f>
        <v/>
      </c>
    </row>
    <row r="16">
      <c r="A16" s="21" t="n"/>
      <c r="B16" s="21" t="n"/>
      <c r="C16" s="21" t="n"/>
      <c r="D16" s="28" t="n"/>
      <c r="E16" s="27" t="n"/>
      <c r="F16" s="21" t="n"/>
      <c r="G16" s="21">
        <f>IF($A16="","",IF($F16="Sim","Pago",IF($D16&lt;TODAY(),"Atrasado","Pendente")))</f>
        <v/>
      </c>
      <c r="H16" s="21" t="n"/>
      <c r="J16" s="21">
        <f>IF($A16="","",IF($F16="Sim","",IF($D16&gt;TODAY()+30,"",$D16+ROW()/1000000)))</f>
        <v/>
      </c>
    </row>
    <row r="17">
      <c r="A17" s="21" t="n"/>
      <c r="B17" s="21" t="n"/>
      <c r="C17" s="21" t="n"/>
      <c r="D17" s="28" t="n"/>
      <c r="E17" s="27" t="n"/>
      <c r="F17" s="21" t="n"/>
      <c r="G17" s="21">
        <f>IF($A17="","",IF($F17="Sim","Pago",IF($D17&lt;TODAY(),"Atrasado","Pendente")))</f>
        <v/>
      </c>
      <c r="H17" s="21" t="n"/>
      <c r="J17" s="21">
        <f>IF($A17="","",IF($F17="Sim","",IF($D17&gt;TODAY()+30,"",$D17+ROW()/1000000)))</f>
        <v/>
      </c>
    </row>
    <row r="18">
      <c r="A18" s="21" t="n"/>
      <c r="B18" s="21" t="n"/>
      <c r="C18" s="21" t="n"/>
      <c r="D18" s="28" t="n"/>
      <c r="E18" s="27" t="n"/>
      <c r="F18" s="21" t="n"/>
      <c r="G18" s="21">
        <f>IF($A18="","",IF($F18="Sim","Pago",IF($D18&lt;TODAY(),"Atrasado","Pendente")))</f>
        <v/>
      </c>
      <c r="H18" s="21" t="n"/>
      <c r="J18" s="21">
        <f>IF($A18="","",IF($F18="Sim","",IF($D18&gt;TODAY()+30,"",$D18+ROW()/1000000)))</f>
        <v/>
      </c>
    </row>
    <row r="19">
      <c r="A19" s="21" t="n"/>
      <c r="B19" s="21" t="n"/>
      <c r="C19" s="21" t="n"/>
      <c r="D19" s="28" t="n"/>
      <c r="E19" s="27" t="n"/>
      <c r="F19" s="21" t="n"/>
      <c r="G19" s="21">
        <f>IF($A19="","",IF($F19="Sim","Pago",IF($D19&lt;TODAY(),"Atrasado","Pendente")))</f>
        <v/>
      </c>
      <c r="H19" s="21" t="n"/>
      <c r="J19" s="21">
        <f>IF($A19="","",IF($F19="Sim","",IF($D19&gt;TODAY()+30,"",$D19+ROW()/1000000)))</f>
        <v/>
      </c>
    </row>
    <row r="20">
      <c r="A20" s="21" t="n"/>
      <c r="B20" s="21" t="n"/>
      <c r="C20" s="21" t="n"/>
      <c r="D20" s="28" t="n"/>
      <c r="E20" s="27" t="n"/>
      <c r="F20" s="21" t="n"/>
      <c r="G20" s="21">
        <f>IF($A20="","",IF($F20="Sim","Pago",IF($D20&lt;TODAY(),"Atrasado","Pendente")))</f>
        <v/>
      </c>
      <c r="H20" s="21" t="n"/>
      <c r="J20" s="21">
        <f>IF($A20="","",IF($F20="Sim","",IF($D20&gt;TODAY()+30,"",$D20+ROW()/1000000)))</f>
        <v/>
      </c>
    </row>
    <row r="21">
      <c r="A21" s="21" t="n"/>
      <c r="B21" s="21" t="n"/>
      <c r="C21" s="21" t="n"/>
      <c r="D21" s="28" t="n"/>
      <c r="E21" s="27" t="n"/>
      <c r="F21" s="21" t="n"/>
      <c r="G21" s="21">
        <f>IF($A21="","",IF($F21="Sim","Pago",IF($D21&lt;TODAY(),"Atrasado","Pendente")))</f>
        <v/>
      </c>
      <c r="H21" s="21" t="n"/>
      <c r="J21" s="21">
        <f>IF($A21="","",IF($F21="Sim","",IF($D21&gt;TODAY()+30,"",$D21+ROW()/1000000)))</f>
        <v/>
      </c>
    </row>
    <row r="22">
      <c r="A22" s="21" t="n"/>
      <c r="B22" s="21" t="n"/>
      <c r="C22" s="21" t="n"/>
      <c r="D22" s="28" t="n"/>
      <c r="E22" s="27" t="n"/>
      <c r="F22" s="21" t="n"/>
      <c r="G22" s="21">
        <f>IF($A22="","",IF($F22="Sim","Pago",IF($D22&lt;TODAY(),"Atrasado","Pendente")))</f>
        <v/>
      </c>
      <c r="H22" s="21" t="n"/>
      <c r="J22" s="21">
        <f>IF($A22="","",IF($F22="Sim","",IF($D22&gt;TODAY()+30,"",$D22+ROW()/1000000)))</f>
        <v/>
      </c>
    </row>
    <row r="23">
      <c r="A23" s="21" t="n"/>
      <c r="B23" s="21" t="n"/>
      <c r="C23" s="21" t="n"/>
      <c r="D23" s="28" t="n"/>
      <c r="E23" s="27" t="n"/>
      <c r="F23" s="21" t="n"/>
      <c r="G23" s="21">
        <f>IF($A23="","",IF($F23="Sim","Pago",IF($D23&lt;TODAY(),"Atrasado","Pendente")))</f>
        <v/>
      </c>
      <c r="H23" s="21" t="n"/>
      <c r="J23" s="21">
        <f>IF($A23="","",IF($F23="Sim","",IF($D23&gt;TODAY()+30,"",$D23+ROW()/1000000)))</f>
        <v/>
      </c>
    </row>
    <row r="24">
      <c r="A24" s="21" t="n"/>
      <c r="B24" s="21" t="n"/>
      <c r="C24" s="21" t="n"/>
      <c r="D24" s="28" t="n"/>
      <c r="E24" s="27" t="n"/>
      <c r="F24" s="21" t="n"/>
      <c r="G24" s="21">
        <f>IF($A24="","",IF($F24="Sim","Pago",IF($D24&lt;TODAY(),"Atrasado","Pendente")))</f>
        <v/>
      </c>
      <c r="H24" s="21" t="n"/>
      <c r="J24" s="21">
        <f>IF($A24="","",IF($F24="Sim","",IF($D24&gt;TODAY()+30,"",$D24+ROW()/1000000)))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8235"/>
  <autoFilter ref="A4:H24"/>
  <mergeCells count="2">
    <mergeCell ref="A3:H3"/>
    <mergeCell ref="A1:H1"/>
  </mergeCells>
  <conditionalFormatting sqref="G5:G24">
    <cfRule type="expression" priority="1" dxfId="0">
      <formula>$G5="Pago"</formula>
    </cfRule>
    <cfRule type="expression" priority="2" dxfId="1">
      <formula>$G5="Pendente"</formula>
    </cfRule>
    <cfRule type="expression" priority="3" dxfId="2">
      <formula>$G5="Atrasado"</formula>
    </cfRule>
  </conditionalFormatting>
  <dataValidations count="3">
    <dataValidation sqref="B5:B24" showDropDown="0" showInputMessage="0" showErrorMessage="0" allowBlank="1" type="list">
      <formula1>"A Pagar,A Receber"</formula1>
    </dataValidation>
    <dataValidation sqref="F5:F24" showDropDown="0" showInputMessage="0" showErrorMessage="0" allowBlank="1" type="list">
      <formula1>"Sim,Não"</formula1>
    </dataValidation>
    <dataValidation sqref="E5:E24" showDropDown="0" showInputMessage="0" showErrorMessage="0" allowBlank="1" errorTitle="Valor inválido" error="Informe um valor em reais igual ou maior que zero." type="decimal" operator="greaterThanOrEqual">
      <formula1>0</formula1>
    </dataValidation>
  </dataValidations>
  <hyperlinks>
    <hyperlink ref="B2" location="'INÍCIO'!A1"/>
    <hyperlink ref="C2" location="'CONFIG'!A1"/>
    <hyperlink ref="D2" location="'LANÇAMENTOS'!A1"/>
    <hyperlink ref="E2" location="'FLUXO DE CAIXA'!A1"/>
    <hyperlink ref="F2" location="'DASHBOARD'!A1"/>
    <hyperlink ref="G2" location="'RELATÓRIO'!A1"/>
    <hyperlink ref="H2" location="'DÚVIDAS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0" t="inlineStr">
        <is>
          <t>W.D.S. — FLUXO DE CAIXA — PREVISTO x REALIZADO</t>
        </is>
      </c>
    </row>
    <row r="2" ht="16" customHeight="1">
      <c r="A2" s="9" t="inlineStr">
        <is>
          <t>Ir para:</t>
        </is>
      </c>
      <c r="B2" s="8" t="inlineStr">
        <is>
          <t>INÍCIO</t>
        </is>
      </c>
      <c r="C2" s="8" t="inlineStr">
        <is>
          <t>CONFIG</t>
        </is>
      </c>
      <c r="D2" s="8" t="inlineStr">
        <is>
          <t>LANÇAMENTOS</t>
        </is>
      </c>
      <c r="E2" s="8" t="inlineStr">
        <is>
          <t>CONTAS A PAGAR-RECEBER</t>
        </is>
      </c>
      <c r="F2" s="8" t="inlineStr">
        <is>
          <t>DASHBOARD</t>
        </is>
      </c>
      <c r="G2" s="8" t="inlineStr">
        <is>
          <t>RELATÓRIO</t>
        </is>
      </c>
      <c r="H2" s="8" t="inlineStr">
        <is>
          <t>DÚVIDAS</t>
        </is>
      </c>
    </row>
    <row r="3" ht="18" customHeight="1">
      <c r="A3" s="9" t="inlineStr">
        <is>
          <t>Calculado automaticamente a partir de LANÇAMENTOS. Previsto = tudo esperado no mês. Realizado depende do Modo de Apuração escolhido em CONFIG. Nada aqui é editável.</t>
        </is>
      </c>
    </row>
    <row r="5" ht="30" customHeight="1">
      <c r="A5" s="23" t="inlineStr">
        <is>
          <t>Mês</t>
        </is>
      </c>
      <c r="B5" s="23" t="inlineStr">
        <is>
          <t>Entradas Previsto</t>
        </is>
      </c>
      <c r="C5" s="23" t="inlineStr">
        <is>
          <t>Entradas Realizado</t>
        </is>
      </c>
      <c r="D5" s="23" t="inlineStr">
        <is>
          <t>Saídas Previsto</t>
        </is>
      </c>
      <c r="E5" s="23" t="inlineStr">
        <is>
          <t>Saídas Realizado</t>
        </is>
      </c>
      <c r="F5" s="23" t="inlineStr">
        <is>
          <t>Saldo do Mês</t>
        </is>
      </c>
      <c r="G5" s="23" t="inlineStr">
        <is>
          <t>Saldo Acumulado</t>
        </is>
      </c>
    </row>
    <row r="6">
      <c r="A6" s="30">
        <f>IFERROR(DATE(ano_referencia,1,1),"")</f>
        <v/>
      </c>
      <c r="B6" s="27">
        <f>IFERROR(SUMIFS('LANÇAMENTOS'!$H$5:$H$34,'LANÇAMENTOS'!$B$5:$B$34,"Entrada",'LANÇAMENTOS'!$I$5:$I$34,"&gt;="&amp;$A6,'LANÇAMENTOS'!$I$5:$I$34,"&lt;="&amp;EOMONTH($A6,0)),0)</f>
        <v/>
      </c>
      <c r="C6" s="27">
        <f>IFERROR(IF(modo_apuracao="Conferencia",SUMIFS('LANÇAMENTOS'!$H$5:$H$34,'LANÇAMENTOS'!$B$5:$B$34,"Entrada",'LANÇAMENTOS'!$K$5:$K$34,"Sim",'LANÇAMENTOS'!$I$5:$I$34,"&gt;="&amp;$A6,'LANÇAMENTOS'!$I$5:$I$34,"&lt;="&amp;EOMONTH($A6,0)),SUMIFS('LANÇAMENTOS'!$H$5:$H$34,'LANÇAMENTOS'!$B$5:$B$34,"Entrada",'LANÇAMENTOS'!$I$5:$I$34,"&lt;="&amp;TODAY(),'LANÇAMENTOS'!$I$5:$I$34,"&gt;="&amp;$A6,'LANÇAMENTOS'!$I$5:$I$34,"&lt;="&amp;EOMONTH($A6,0))),0)</f>
        <v/>
      </c>
      <c r="D6" s="27">
        <f>IFERROR(SUMIFS('LANÇAMENTOS'!$H$5:$H$34,'LANÇAMENTOS'!$B$5:$B$34,"Saída",'LANÇAMENTOS'!$I$5:$I$34,"&gt;="&amp;$A6,'LANÇAMENTOS'!$I$5:$I$34,"&lt;="&amp;EOMONTH($A6,0)),0)</f>
        <v/>
      </c>
      <c r="E6" s="27">
        <f>IFERROR(IF(modo_apuracao="Conferencia",SUMIFS('LANÇAMENTOS'!$H$5:$H$34,'LANÇAMENTOS'!$B$5:$B$34,"Saída",'LANÇAMENTOS'!$K$5:$K$34,"Sim",'LANÇAMENTOS'!$I$5:$I$34,"&gt;="&amp;$A6,'LANÇAMENTOS'!$I$5:$I$34,"&lt;="&amp;EOMONTH($A6,0)),SUMIFS('LANÇAMENTOS'!$H$5:$H$34,'LANÇAMENTOS'!$B$5:$B$34,"Saída",'LANÇAMENTOS'!$I$5:$I$34,"&lt;="&amp;TODAY(),'LANÇAMENTOS'!$I$5:$I$34,"&gt;="&amp;$A6,'LANÇAMENTOS'!$I$5:$I$34,"&lt;="&amp;EOMONTH($A6,0))),0)</f>
        <v/>
      </c>
      <c r="F6" s="27">
        <f>$C6-$E6</f>
        <v/>
      </c>
      <c r="G6" s="27">
        <f>saldo_inicial+$F6</f>
        <v/>
      </c>
    </row>
    <row r="7">
      <c r="A7" s="30">
        <f>IFERROR(DATE(ano_referencia,2,1),"")</f>
        <v/>
      </c>
      <c r="B7" s="27">
        <f>IFERROR(SUMIFS('LANÇAMENTOS'!$H$5:$H$34,'LANÇAMENTOS'!$B$5:$B$34,"Entrada",'LANÇAMENTOS'!$I$5:$I$34,"&gt;="&amp;$A7,'LANÇAMENTOS'!$I$5:$I$34,"&lt;="&amp;EOMONTH($A7,0)),0)</f>
        <v/>
      </c>
      <c r="C7" s="27">
        <f>IFERROR(IF(modo_apuracao="Conferencia",SUMIFS('LANÇAMENTOS'!$H$5:$H$34,'LANÇAMENTOS'!$B$5:$B$34,"Entrada",'LANÇAMENTOS'!$K$5:$K$34,"Sim",'LANÇAMENTOS'!$I$5:$I$34,"&gt;="&amp;$A7,'LANÇAMENTOS'!$I$5:$I$34,"&lt;="&amp;EOMONTH($A7,0)),SUMIFS('LANÇAMENTOS'!$H$5:$H$34,'LANÇAMENTOS'!$B$5:$B$34,"Entrada",'LANÇAMENTOS'!$I$5:$I$34,"&lt;="&amp;TODAY(),'LANÇAMENTOS'!$I$5:$I$34,"&gt;="&amp;$A7,'LANÇAMENTOS'!$I$5:$I$34,"&lt;="&amp;EOMONTH($A7,0))),0)</f>
        <v/>
      </c>
      <c r="D7" s="27">
        <f>IFERROR(SUMIFS('LANÇAMENTOS'!$H$5:$H$34,'LANÇAMENTOS'!$B$5:$B$34,"Saída",'LANÇAMENTOS'!$I$5:$I$34,"&gt;="&amp;$A7,'LANÇAMENTOS'!$I$5:$I$34,"&lt;="&amp;EOMONTH($A7,0)),0)</f>
        <v/>
      </c>
      <c r="E7" s="27">
        <f>IFERROR(IF(modo_apuracao="Conferencia",SUMIFS('LANÇAMENTOS'!$H$5:$H$34,'LANÇAMENTOS'!$B$5:$B$34,"Saída",'LANÇAMENTOS'!$K$5:$K$34,"Sim",'LANÇAMENTOS'!$I$5:$I$34,"&gt;="&amp;$A7,'LANÇAMENTOS'!$I$5:$I$34,"&lt;="&amp;EOMONTH($A7,0)),SUMIFS('LANÇAMENTOS'!$H$5:$H$34,'LANÇAMENTOS'!$B$5:$B$34,"Saída",'LANÇAMENTOS'!$I$5:$I$34,"&lt;="&amp;TODAY(),'LANÇAMENTOS'!$I$5:$I$34,"&gt;="&amp;$A7,'LANÇAMENTOS'!$I$5:$I$34,"&lt;="&amp;EOMONTH($A7,0))),0)</f>
        <v/>
      </c>
      <c r="F7" s="27">
        <f>$C7-$E7</f>
        <v/>
      </c>
      <c r="G7" s="27">
        <f>$G6+$F7</f>
        <v/>
      </c>
    </row>
    <row r="8">
      <c r="A8" s="30">
        <f>IFERROR(DATE(ano_referencia,3,1),"")</f>
        <v/>
      </c>
      <c r="B8" s="27">
        <f>IFERROR(SUMIFS('LANÇAMENTOS'!$H$5:$H$34,'LANÇAMENTOS'!$B$5:$B$34,"Entrada",'LANÇAMENTOS'!$I$5:$I$34,"&gt;="&amp;$A8,'LANÇAMENTOS'!$I$5:$I$34,"&lt;="&amp;EOMONTH($A8,0)),0)</f>
        <v/>
      </c>
      <c r="C8" s="27">
        <f>IFERROR(IF(modo_apuracao="Conferencia",SUMIFS('LANÇAMENTOS'!$H$5:$H$34,'LANÇAMENTOS'!$B$5:$B$34,"Entrada",'LANÇAMENTOS'!$K$5:$K$34,"Sim",'LANÇAMENTOS'!$I$5:$I$34,"&gt;="&amp;$A8,'LANÇAMENTOS'!$I$5:$I$34,"&lt;="&amp;EOMONTH($A8,0)),SUMIFS('LANÇAMENTOS'!$H$5:$H$34,'LANÇAMENTOS'!$B$5:$B$34,"Entrada",'LANÇAMENTOS'!$I$5:$I$34,"&lt;="&amp;TODAY(),'LANÇAMENTOS'!$I$5:$I$34,"&gt;="&amp;$A8,'LANÇAMENTOS'!$I$5:$I$34,"&lt;="&amp;EOMONTH($A8,0))),0)</f>
        <v/>
      </c>
      <c r="D8" s="27">
        <f>IFERROR(SUMIFS('LANÇAMENTOS'!$H$5:$H$34,'LANÇAMENTOS'!$B$5:$B$34,"Saída",'LANÇAMENTOS'!$I$5:$I$34,"&gt;="&amp;$A8,'LANÇAMENTOS'!$I$5:$I$34,"&lt;="&amp;EOMONTH($A8,0)),0)</f>
        <v/>
      </c>
      <c r="E8" s="27">
        <f>IFERROR(IF(modo_apuracao="Conferencia",SUMIFS('LANÇAMENTOS'!$H$5:$H$34,'LANÇAMENTOS'!$B$5:$B$34,"Saída",'LANÇAMENTOS'!$K$5:$K$34,"Sim",'LANÇAMENTOS'!$I$5:$I$34,"&gt;="&amp;$A8,'LANÇAMENTOS'!$I$5:$I$34,"&lt;="&amp;EOMONTH($A8,0)),SUMIFS('LANÇAMENTOS'!$H$5:$H$34,'LANÇAMENTOS'!$B$5:$B$34,"Saída",'LANÇAMENTOS'!$I$5:$I$34,"&lt;="&amp;TODAY(),'LANÇAMENTOS'!$I$5:$I$34,"&gt;="&amp;$A8,'LANÇAMENTOS'!$I$5:$I$34,"&lt;="&amp;EOMONTH($A8,0))),0)</f>
        <v/>
      </c>
      <c r="F8" s="27">
        <f>$C8-$E8</f>
        <v/>
      </c>
      <c r="G8" s="27">
        <f>$G7+$F8</f>
        <v/>
      </c>
    </row>
    <row r="9">
      <c r="A9" s="30">
        <f>IFERROR(DATE(ano_referencia,4,1),"")</f>
        <v/>
      </c>
      <c r="B9" s="27">
        <f>IFERROR(SUMIFS('LANÇAMENTOS'!$H$5:$H$34,'LANÇAMENTOS'!$B$5:$B$34,"Entrada",'LANÇAMENTOS'!$I$5:$I$34,"&gt;="&amp;$A9,'LANÇAMENTOS'!$I$5:$I$34,"&lt;="&amp;EOMONTH($A9,0)),0)</f>
        <v/>
      </c>
      <c r="C9" s="27">
        <f>IFERROR(IF(modo_apuracao="Conferencia",SUMIFS('LANÇAMENTOS'!$H$5:$H$34,'LANÇAMENTOS'!$B$5:$B$34,"Entrada",'LANÇAMENTOS'!$K$5:$K$34,"Sim",'LANÇAMENTOS'!$I$5:$I$34,"&gt;="&amp;$A9,'LANÇAMENTOS'!$I$5:$I$34,"&lt;="&amp;EOMONTH($A9,0)),SUMIFS('LANÇAMENTOS'!$H$5:$H$34,'LANÇAMENTOS'!$B$5:$B$34,"Entrada",'LANÇAMENTOS'!$I$5:$I$34,"&lt;="&amp;TODAY(),'LANÇAMENTOS'!$I$5:$I$34,"&gt;="&amp;$A9,'LANÇAMENTOS'!$I$5:$I$34,"&lt;="&amp;EOMONTH($A9,0))),0)</f>
        <v/>
      </c>
      <c r="D9" s="27">
        <f>IFERROR(SUMIFS('LANÇAMENTOS'!$H$5:$H$34,'LANÇAMENTOS'!$B$5:$B$34,"Saída",'LANÇAMENTOS'!$I$5:$I$34,"&gt;="&amp;$A9,'LANÇAMENTOS'!$I$5:$I$34,"&lt;="&amp;EOMONTH($A9,0)),0)</f>
        <v/>
      </c>
      <c r="E9" s="27">
        <f>IFERROR(IF(modo_apuracao="Conferencia",SUMIFS('LANÇAMENTOS'!$H$5:$H$34,'LANÇAMENTOS'!$B$5:$B$34,"Saída",'LANÇAMENTOS'!$K$5:$K$34,"Sim",'LANÇAMENTOS'!$I$5:$I$34,"&gt;="&amp;$A9,'LANÇAMENTOS'!$I$5:$I$34,"&lt;="&amp;EOMONTH($A9,0)),SUMIFS('LANÇAMENTOS'!$H$5:$H$34,'LANÇAMENTOS'!$B$5:$B$34,"Saída",'LANÇAMENTOS'!$I$5:$I$34,"&lt;="&amp;TODAY(),'LANÇAMENTOS'!$I$5:$I$34,"&gt;="&amp;$A9,'LANÇAMENTOS'!$I$5:$I$34,"&lt;="&amp;EOMONTH($A9,0))),0)</f>
        <v/>
      </c>
      <c r="F9" s="27">
        <f>$C9-$E9</f>
        <v/>
      </c>
      <c r="G9" s="27">
        <f>$G8+$F9</f>
        <v/>
      </c>
    </row>
    <row r="10">
      <c r="A10" s="30">
        <f>IFERROR(DATE(ano_referencia,5,1),"")</f>
        <v/>
      </c>
      <c r="B10" s="27">
        <f>IFERROR(SUMIFS('LANÇAMENTOS'!$H$5:$H$34,'LANÇAMENTOS'!$B$5:$B$34,"Entrada",'LANÇAMENTOS'!$I$5:$I$34,"&gt;="&amp;$A10,'LANÇAMENTOS'!$I$5:$I$34,"&lt;="&amp;EOMONTH($A10,0)),0)</f>
        <v/>
      </c>
      <c r="C10" s="27">
        <f>IFERROR(IF(modo_apuracao="Conferencia",SUMIFS('LANÇAMENTOS'!$H$5:$H$34,'LANÇAMENTOS'!$B$5:$B$34,"Entrada",'LANÇAMENTOS'!$K$5:$K$34,"Sim",'LANÇAMENTOS'!$I$5:$I$34,"&gt;="&amp;$A10,'LANÇAMENTOS'!$I$5:$I$34,"&lt;="&amp;EOMONTH($A10,0)),SUMIFS('LANÇAMENTOS'!$H$5:$H$34,'LANÇAMENTOS'!$B$5:$B$34,"Entrada",'LANÇAMENTOS'!$I$5:$I$34,"&lt;="&amp;TODAY(),'LANÇAMENTOS'!$I$5:$I$34,"&gt;="&amp;$A10,'LANÇAMENTOS'!$I$5:$I$34,"&lt;="&amp;EOMONTH($A10,0))),0)</f>
        <v/>
      </c>
      <c r="D10" s="27">
        <f>IFERROR(SUMIFS('LANÇAMENTOS'!$H$5:$H$34,'LANÇAMENTOS'!$B$5:$B$34,"Saída",'LANÇAMENTOS'!$I$5:$I$34,"&gt;="&amp;$A10,'LANÇAMENTOS'!$I$5:$I$34,"&lt;="&amp;EOMONTH($A10,0)),0)</f>
        <v/>
      </c>
      <c r="E10" s="27">
        <f>IFERROR(IF(modo_apuracao="Conferencia",SUMIFS('LANÇAMENTOS'!$H$5:$H$34,'LANÇAMENTOS'!$B$5:$B$34,"Saída",'LANÇAMENTOS'!$K$5:$K$34,"Sim",'LANÇAMENTOS'!$I$5:$I$34,"&gt;="&amp;$A10,'LANÇAMENTOS'!$I$5:$I$34,"&lt;="&amp;EOMONTH($A10,0)),SUMIFS('LANÇAMENTOS'!$H$5:$H$34,'LANÇAMENTOS'!$B$5:$B$34,"Saída",'LANÇAMENTOS'!$I$5:$I$34,"&lt;="&amp;TODAY(),'LANÇAMENTOS'!$I$5:$I$34,"&gt;="&amp;$A10,'LANÇAMENTOS'!$I$5:$I$34,"&lt;="&amp;EOMONTH($A10,0))),0)</f>
        <v/>
      </c>
      <c r="F10" s="27">
        <f>$C10-$E10</f>
        <v/>
      </c>
      <c r="G10" s="27">
        <f>$G9+$F10</f>
        <v/>
      </c>
    </row>
    <row r="11">
      <c r="A11" s="30">
        <f>IFERROR(DATE(ano_referencia,6,1),"")</f>
        <v/>
      </c>
      <c r="B11" s="27">
        <f>IFERROR(SUMIFS('LANÇAMENTOS'!$H$5:$H$34,'LANÇAMENTOS'!$B$5:$B$34,"Entrada",'LANÇAMENTOS'!$I$5:$I$34,"&gt;="&amp;$A11,'LANÇAMENTOS'!$I$5:$I$34,"&lt;="&amp;EOMONTH($A11,0)),0)</f>
        <v/>
      </c>
      <c r="C11" s="27">
        <f>IFERROR(IF(modo_apuracao="Conferencia",SUMIFS('LANÇAMENTOS'!$H$5:$H$34,'LANÇAMENTOS'!$B$5:$B$34,"Entrada",'LANÇAMENTOS'!$K$5:$K$34,"Sim",'LANÇAMENTOS'!$I$5:$I$34,"&gt;="&amp;$A11,'LANÇAMENTOS'!$I$5:$I$34,"&lt;="&amp;EOMONTH($A11,0)),SUMIFS('LANÇAMENTOS'!$H$5:$H$34,'LANÇAMENTOS'!$B$5:$B$34,"Entrada",'LANÇAMENTOS'!$I$5:$I$34,"&lt;="&amp;TODAY(),'LANÇAMENTOS'!$I$5:$I$34,"&gt;="&amp;$A11,'LANÇAMENTOS'!$I$5:$I$34,"&lt;="&amp;EOMONTH($A11,0))),0)</f>
        <v/>
      </c>
      <c r="D11" s="27">
        <f>IFERROR(SUMIFS('LANÇAMENTOS'!$H$5:$H$34,'LANÇAMENTOS'!$B$5:$B$34,"Saída",'LANÇAMENTOS'!$I$5:$I$34,"&gt;="&amp;$A11,'LANÇAMENTOS'!$I$5:$I$34,"&lt;="&amp;EOMONTH($A11,0)),0)</f>
        <v/>
      </c>
      <c r="E11" s="27">
        <f>IFERROR(IF(modo_apuracao="Conferencia",SUMIFS('LANÇAMENTOS'!$H$5:$H$34,'LANÇAMENTOS'!$B$5:$B$34,"Saída",'LANÇAMENTOS'!$K$5:$K$34,"Sim",'LANÇAMENTOS'!$I$5:$I$34,"&gt;="&amp;$A11,'LANÇAMENTOS'!$I$5:$I$34,"&lt;="&amp;EOMONTH($A11,0)),SUMIFS('LANÇAMENTOS'!$H$5:$H$34,'LANÇAMENTOS'!$B$5:$B$34,"Saída",'LANÇAMENTOS'!$I$5:$I$34,"&lt;="&amp;TODAY(),'LANÇAMENTOS'!$I$5:$I$34,"&gt;="&amp;$A11,'LANÇAMENTOS'!$I$5:$I$34,"&lt;="&amp;EOMONTH($A11,0))),0)</f>
        <v/>
      </c>
      <c r="F11" s="27">
        <f>$C11-$E11</f>
        <v/>
      </c>
      <c r="G11" s="27">
        <f>$G10+$F11</f>
        <v/>
      </c>
    </row>
    <row r="12">
      <c r="A12" s="30">
        <f>IFERROR(DATE(ano_referencia,7,1),"")</f>
        <v/>
      </c>
      <c r="B12" s="27">
        <f>IFERROR(SUMIFS('LANÇAMENTOS'!$H$5:$H$34,'LANÇAMENTOS'!$B$5:$B$34,"Entrada",'LANÇAMENTOS'!$I$5:$I$34,"&gt;="&amp;$A12,'LANÇAMENTOS'!$I$5:$I$34,"&lt;="&amp;EOMONTH($A12,0)),0)</f>
        <v/>
      </c>
      <c r="C12" s="27">
        <f>IFERROR(IF(modo_apuracao="Conferencia",SUMIFS('LANÇAMENTOS'!$H$5:$H$34,'LANÇAMENTOS'!$B$5:$B$34,"Entrada",'LANÇAMENTOS'!$K$5:$K$34,"Sim",'LANÇAMENTOS'!$I$5:$I$34,"&gt;="&amp;$A12,'LANÇAMENTOS'!$I$5:$I$34,"&lt;="&amp;EOMONTH($A12,0)),SUMIFS('LANÇAMENTOS'!$H$5:$H$34,'LANÇAMENTOS'!$B$5:$B$34,"Entrada",'LANÇAMENTOS'!$I$5:$I$34,"&lt;="&amp;TODAY(),'LANÇAMENTOS'!$I$5:$I$34,"&gt;="&amp;$A12,'LANÇAMENTOS'!$I$5:$I$34,"&lt;="&amp;EOMONTH($A12,0))),0)</f>
        <v/>
      </c>
      <c r="D12" s="27">
        <f>IFERROR(SUMIFS('LANÇAMENTOS'!$H$5:$H$34,'LANÇAMENTOS'!$B$5:$B$34,"Saída",'LANÇAMENTOS'!$I$5:$I$34,"&gt;="&amp;$A12,'LANÇAMENTOS'!$I$5:$I$34,"&lt;="&amp;EOMONTH($A12,0)),0)</f>
        <v/>
      </c>
      <c r="E12" s="27">
        <f>IFERROR(IF(modo_apuracao="Conferencia",SUMIFS('LANÇAMENTOS'!$H$5:$H$34,'LANÇAMENTOS'!$B$5:$B$34,"Saída",'LANÇAMENTOS'!$K$5:$K$34,"Sim",'LANÇAMENTOS'!$I$5:$I$34,"&gt;="&amp;$A12,'LANÇAMENTOS'!$I$5:$I$34,"&lt;="&amp;EOMONTH($A12,0)),SUMIFS('LANÇAMENTOS'!$H$5:$H$34,'LANÇAMENTOS'!$B$5:$B$34,"Saída",'LANÇAMENTOS'!$I$5:$I$34,"&lt;="&amp;TODAY(),'LANÇAMENTOS'!$I$5:$I$34,"&gt;="&amp;$A12,'LANÇAMENTOS'!$I$5:$I$34,"&lt;="&amp;EOMONTH($A12,0))),0)</f>
        <v/>
      </c>
      <c r="F12" s="27">
        <f>$C12-$E12</f>
        <v/>
      </c>
      <c r="G12" s="27">
        <f>$G11+$F12</f>
        <v/>
      </c>
    </row>
    <row r="13">
      <c r="A13" s="30">
        <f>IFERROR(DATE(ano_referencia,8,1),"")</f>
        <v/>
      </c>
      <c r="B13" s="27">
        <f>IFERROR(SUMIFS('LANÇAMENTOS'!$H$5:$H$34,'LANÇAMENTOS'!$B$5:$B$34,"Entrada",'LANÇAMENTOS'!$I$5:$I$34,"&gt;="&amp;$A13,'LANÇAMENTOS'!$I$5:$I$34,"&lt;="&amp;EOMONTH($A13,0)),0)</f>
        <v/>
      </c>
      <c r="C13" s="27">
        <f>IFERROR(IF(modo_apuracao="Conferencia",SUMIFS('LANÇAMENTOS'!$H$5:$H$34,'LANÇAMENTOS'!$B$5:$B$34,"Entrada",'LANÇAMENTOS'!$K$5:$K$34,"Sim",'LANÇAMENTOS'!$I$5:$I$34,"&gt;="&amp;$A13,'LANÇAMENTOS'!$I$5:$I$34,"&lt;="&amp;EOMONTH($A13,0)),SUMIFS('LANÇAMENTOS'!$H$5:$H$34,'LANÇAMENTOS'!$B$5:$B$34,"Entrada",'LANÇAMENTOS'!$I$5:$I$34,"&lt;="&amp;TODAY(),'LANÇAMENTOS'!$I$5:$I$34,"&gt;="&amp;$A13,'LANÇAMENTOS'!$I$5:$I$34,"&lt;="&amp;EOMONTH($A13,0))),0)</f>
        <v/>
      </c>
      <c r="D13" s="27">
        <f>IFERROR(SUMIFS('LANÇAMENTOS'!$H$5:$H$34,'LANÇAMENTOS'!$B$5:$B$34,"Saída",'LANÇAMENTOS'!$I$5:$I$34,"&gt;="&amp;$A13,'LANÇAMENTOS'!$I$5:$I$34,"&lt;="&amp;EOMONTH($A13,0)),0)</f>
        <v/>
      </c>
      <c r="E13" s="27">
        <f>IFERROR(IF(modo_apuracao="Conferencia",SUMIFS('LANÇAMENTOS'!$H$5:$H$34,'LANÇAMENTOS'!$B$5:$B$34,"Saída",'LANÇAMENTOS'!$K$5:$K$34,"Sim",'LANÇAMENTOS'!$I$5:$I$34,"&gt;="&amp;$A13,'LANÇAMENTOS'!$I$5:$I$34,"&lt;="&amp;EOMONTH($A13,0)),SUMIFS('LANÇAMENTOS'!$H$5:$H$34,'LANÇAMENTOS'!$B$5:$B$34,"Saída",'LANÇAMENTOS'!$I$5:$I$34,"&lt;="&amp;TODAY(),'LANÇAMENTOS'!$I$5:$I$34,"&gt;="&amp;$A13,'LANÇAMENTOS'!$I$5:$I$34,"&lt;="&amp;EOMONTH($A13,0))),0)</f>
        <v/>
      </c>
      <c r="F13" s="27">
        <f>$C13-$E13</f>
        <v/>
      </c>
      <c r="G13" s="27">
        <f>$G12+$F13</f>
        <v/>
      </c>
    </row>
    <row r="14">
      <c r="A14" s="30">
        <f>IFERROR(DATE(ano_referencia,9,1),"")</f>
        <v/>
      </c>
      <c r="B14" s="27">
        <f>IFERROR(SUMIFS('LANÇAMENTOS'!$H$5:$H$34,'LANÇAMENTOS'!$B$5:$B$34,"Entrada",'LANÇAMENTOS'!$I$5:$I$34,"&gt;="&amp;$A14,'LANÇAMENTOS'!$I$5:$I$34,"&lt;="&amp;EOMONTH($A14,0)),0)</f>
        <v/>
      </c>
      <c r="C14" s="27">
        <f>IFERROR(IF(modo_apuracao="Conferencia",SUMIFS('LANÇAMENTOS'!$H$5:$H$34,'LANÇAMENTOS'!$B$5:$B$34,"Entrada",'LANÇAMENTOS'!$K$5:$K$34,"Sim",'LANÇAMENTOS'!$I$5:$I$34,"&gt;="&amp;$A14,'LANÇAMENTOS'!$I$5:$I$34,"&lt;="&amp;EOMONTH($A14,0)),SUMIFS('LANÇAMENTOS'!$H$5:$H$34,'LANÇAMENTOS'!$B$5:$B$34,"Entrada",'LANÇAMENTOS'!$I$5:$I$34,"&lt;="&amp;TODAY(),'LANÇAMENTOS'!$I$5:$I$34,"&gt;="&amp;$A14,'LANÇAMENTOS'!$I$5:$I$34,"&lt;="&amp;EOMONTH($A14,0))),0)</f>
        <v/>
      </c>
      <c r="D14" s="27">
        <f>IFERROR(SUMIFS('LANÇAMENTOS'!$H$5:$H$34,'LANÇAMENTOS'!$B$5:$B$34,"Saída",'LANÇAMENTOS'!$I$5:$I$34,"&gt;="&amp;$A14,'LANÇAMENTOS'!$I$5:$I$34,"&lt;="&amp;EOMONTH($A14,0)),0)</f>
        <v/>
      </c>
      <c r="E14" s="27">
        <f>IFERROR(IF(modo_apuracao="Conferencia",SUMIFS('LANÇAMENTOS'!$H$5:$H$34,'LANÇAMENTOS'!$B$5:$B$34,"Saída",'LANÇAMENTOS'!$K$5:$K$34,"Sim",'LANÇAMENTOS'!$I$5:$I$34,"&gt;="&amp;$A14,'LANÇAMENTOS'!$I$5:$I$34,"&lt;="&amp;EOMONTH($A14,0)),SUMIFS('LANÇAMENTOS'!$H$5:$H$34,'LANÇAMENTOS'!$B$5:$B$34,"Saída",'LANÇAMENTOS'!$I$5:$I$34,"&lt;="&amp;TODAY(),'LANÇAMENTOS'!$I$5:$I$34,"&gt;="&amp;$A14,'LANÇAMENTOS'!$I$5:$I$34,"&lt;="&amp;EOMONTH($A14,0))),0)</f>
        <v/>
      </c>
      <c r="F14" s="27">
        <f>$C14-$E14</f>
        <v/>
      </c>
      <c r="G14" s="27">
        <f>$G13+$F14</f>
        <v/>
      </c>
    </row>
    <row r="15">
      <c r="A15" s="30">
        <f>IFERROR(DATE(ano_referencia,10,1),"")</f>
        <v/>
      </c>
      <c r="B15" s="27">
        <f>IFERROR(SUMIFS('LANÇAMENTOS'!$H$5:$H$34,'LANÇAMENTOS'!$B$5:$B$34,"Entrada",'LANÇAMENTOS'!$I$5:$I$34,"&gt;="&amp;$A15,'LANÇAMENTOS'!$I$5:$I$34,"&lt;="&amp;EOMONTH($A15,0)),0)</f>
        <v/>
      </c>
      <c r="C15" s="27">
        <f>IFERROR(IF(modo_apuracao="Conferencia",SUMIFS('LANÇAMENTOS'!$H$5:$H$34,'LANÇAMENTOS'!$B$5:$B$34,"Entrada",'LANÇAMENTOS'!$K$5:$K$34,"Sim",'LANÇAMENTOS'!$I$5:$I$34,"&gt;="&amp;$A15,'LANÇAMENTOS'!$I$5:$I$34,"&lt;="&amp;EOMONTH($A15,0)),SUMIFS('LANÇAMENTOS'!$H$5:$H$34,'LANÇAMENTOS'!$B$5:$B$34,"Entrada",'LANÇAMENTOS'!$I$5:$I$34,"&lt;="&amp;TODAY(),'LANÇAMENTOS'!$I$5:$I$34,"&gt;="&amp;$A15,'LANÇAMENTOS'!$I$5:$I$34,"&lt;="&amp;EOMONTH($A15,0))),0)</f>
        <v/>
      </c>
      <c r="D15" s="27">
        <f>IFERROR(SUMIFS('LANÇAMENTOS'!$H$5:$H$34,'LANÇAMENTOS'!$B$5:$B$34,"Saída",'LANÇAMENTOS'!$I$5:$I$34,"&gt;="&amp;$A15,'LANÇAMENTOS'!$I$5:$I$34,"&lt;="&amp;EOMONTH($A15,0)),0)</f>
        <v/>
      </c>
      <c r="E15" s="27">
        <f>IFERROR(IF(modo_apuracao="Conferencia",SUMIFS('LANÇAMENTOS'!$H$5:$H$34,'LANÇAMENTOS'!$B$5:$B$34,"Saída",'LANÇAMENTOS'!$K$5:$K$34,"Sim",'LANÇAMENTOS'!$I$5:$I$34,"&gt;="&amp;$A15,'LANÇAMENTOS'!$I$5:$I$34,"&lt;="&amp;EOMONTH($A15,0)),SUMIFS('LANÇAMENTOS'!$H$5:$H$34,'LANÇAMENTOS'!$B$5:$B$34,"Saída",'LANÇAMENTOS'!$I$5:$I$34,"&lt;="&amp;TODAY(),'LANÇAMENTOS'!$I$5:$I$34,"&gt;="&amp;$A15,'LANÇAMENTOS'!$I$5:$I$34,"&lt;="&amp;EOMONTH($A15,0))),0)</f>
        <v/>
      </c>
      <c r="F15" s="27">
        <f>$C15-$E15</f>
        <v/>
      </c>
      <c r="G15" s="27">
        <f>$G14+$F15</f>
        <v/>
      </c>
    </row>
    <row r="16">
      <c r="A16" s="30">
        <f>IFERROR(DATE(ano_referencia,11,1),"")</f>
        <v/>
      </c>
      <c r="B16" s="27">
        <f>IFERROR(SUMIFS('LANÇAMENTOS'!$H$5:$H$34,'LANÇAMENTOS'!$B$5:$B$34,"Entrada",'LANÇAMENTOS'!$I$5:$I$34,"&gt;="&amp;$A16,'LANÇAMENTOS'!$I$5:$I$34,"&lt;="&amp;EOMONTH($A16,0)),0)</f>
        <v/>
      </c>
      <c r="C16" s="27">
        <f>IFERROR(IF(modo_apuracao="Conferencia",SUMIFS('LANÇAMENTOS'!$H$5:$H$34,'LANÇAMENTOS'!$B$5:$B$34,"Entrada",'LANÇAMENTOS'!$K$5:$K$34,"Sim",'LANÇAMENTOS'!$I$5:$I$34,"&gt;="&amp;$A16,'LANÇAMENTOS'!$I$5:$I$34,"&lt;="&amp;EOMONTH($A16,0)),SUMIFS('LANÇAMENTOS'!$H$5:$H$34,'LANÇAMENTOS'!$B$5:$B$34,"Entrada",'LANÇAMENTOS'!$I$5:$I$34,"&lt;="&amp;TODAY(),'LANÇAMENTOS'!$I$5:$I$34,"&gt;="&amp;$A16,'LANÇAMENTOS'!$I$5:$I$34,"&lt;="&amp;EOMONTH($A16,0))),0)</f>
        <v/>
      </c>
      <c r="D16" s="27">
        <f>IFERROR(SUMIFS('LANÇAMENTOS'!$H$5:$H$34,'LANÇAMENTOS'!$B$5:$B$34,"Saída",'LANÇAMENTOS'!$I$5:$I$34,"&gt;="&amp;$A16,'LANÇAMENTOS'!$I$5:$I$34,"&lt;="&amp;EOMONTH($A16,0)),0)</f>
        <v/>
      </c>
      <c r="E16" s="27">
        <f>IFERROR(IF(modo_apuracao="Conferencia",SUMIFS('LANÇAMENTOS'!$H$5:$H$34,'LANÇAMENTOS'!$B$5:$B$34,"Saída",'LANÇAMENTOS'!$K$5:$K$34,"Sim",'LANÇAMENTOS'!$I$5:$I$34,"&gt;="&amp;$A16,'LANÇAMENTOS'!$I$5:$I$34,"&lt;="&amp;EOMONTH($A16,0)),SUMIFS('LANÇAMENTOS'!$H$5:$H$34,'LANÇAMENTOS'!$B$5:$B$34,"Saída",'LANÇAMENTOS'!$I$5:$I$34,"&lt;="&amp;TODAY(),'LANÇAMENTOS'!$I$5:$I$34,"&gt;="&amp;$A16,'LANÇAMENTOS'!$I$5:$I$34,"&lt;="&amp;EOMONTH($A16,0))),0)</f>
        <v/>
      </c>
      <c r="F16" s="27">
        <f>$C16-$E16</f>
        <v/>
      </c>
      <c r="G16" s="27">
        <f>$G15+$F16</f>
        <v/>
      </c>
    </row>
    <row r="17">
      <c r="A17" s="30">
        <f>IFERROR(DATE(ano_referencia,12,1),"")</f>
        <v/>
      </c>
      <c r="B17" s="27">
        <f>IFERROR(SUMIFS('LANÇAMENTOS'!$H$5:$H$34,'LANÇAMENTOS'!$B$5:$B$34,"Entrada",'LANÇAMENTOS'!$I$5:$I$34,"&gt;="&amp;$A17,'LANÇAMENTOS'!$I$5:$I$34,"&lt;="&amp;EOMONTH($A17,0)),0)</f>
        <v/>
      </c>
      <c r="C17" s="27">
        <f>IFERROR(IF(modo_apuracao="Conferencia",SUMIFS('LANÇAMENTOS'!$H$5:$H$34,'LANÇAMENTOS'!$B$5:$B$34,"Entrada",'LANÇAMENTOS'!$K$5:$K$34,"Sim",'LANÇAMENTOS'!$I$5:$I$34,"&gt;="&amp;$A17,'LANÇAMENTOS'!$I$5:$I$34,"&lt;="&amp;EOMONTH($A17,0)),SUMIFS('LANÇAMENTOS'!$H$5:$H$34,'LANÇAMENTOS'!$B$5:$B$34,"Entrada",'LANÇAMENTOS'!$I$5:$I$34,"&lt;="&amp;TODAY(),'LANÇAMENTOS'!$I$5:$I$34,"&gt;="&amp;$A17,'LANÇAMENTOS'!$I$5:$I$34,"&lt;="&amp;EOMONTH($A17,0))),0)</f>
        <v/>
      </c>
      <c r="D17" s="27">
        <f>IFERROR(SUMIFS('LANÇAMENTOS'!$H$5:$H$34,'LANÇAMENTOS'!$B$5:$B$34,"Saída",'LANÇAMENTOS'!$I$5:$I$34,"&gt;="&amp;$A17,'LANÇAMENTOS'!$I$5:$I$34,"&lt;="&amp;EOMONTH($A17,0)),0)</f>
        <v/>
      </c>
      <c r="E17" s="27">
        <f>IFERROR(IF(modo_apuracao="Conferencia",SUMIFS('LANÇAMENTOS'!$H$5:$H$34,'LANÇAMENTOS'!$B$5:$B$34,"Saída",'LANÇAMENTOS'!$K$5:$K$34,"Sim",'LANÇAMENTOS'!$I$5:$I$34,"&gt;="&amp;$A17,'LANÇAMENTOS'!$I$5:$I$34,"&lt;="&amp;EOMONTH($A17,0)),SUMIFS('LANÇAMENTOS'!$H$5:$H$34,'LANÇAMENTOS'!$B$5:$B$34,"Saída",'LANÇAMENTOS'!$I$5:$I$34,"&lt;="&amp;TODAY(),'LANÇAMENTOS'!$I$5:$I$34,"&gt;="&amp;$A17,'LANÇAMENTOS'!$I$5:$I$34,"&lt;="&amp;EOMONTH($A17,0))),0)</f>
        <v/>
      </c>
      <c r="F17" s="27">
        <f>$C17-$E17</f>
        <v/>
      </c>
      <c r="G17" s="27">
        <f>$G16+$F17</f>
        <v/>
      </c>
    </row>
    <row r="20">
      <c r="A20" s="5" t="inlineStr">
        <is>
          <t>DETALHAMENTO POR CATEGORIA</t>
        </is>
      </c>
    </row>
    <row r="21">
      <c r="A21" s="31" t="inlineStr">
        <is>
          <t>Mês selecionado:</t>
        </is>
      </c>
      <c r="B21" s="32" t="n">
        <v>46023</v>
      </c>
    </row>
    <row r="23" ht="30" customHeight="1">
      <c r="A23" s="23" t="inlineStr">
        <is>
          <t>Categoria</t>
        </is>
      </c>
      <c r="B23" s="23" t="inlineStr">
        <is>
          <t>Entradas Previsto</t>
        </is>
      </c>
      <c r="C23" s="23" t="inlineStr">
        <is>
          <t>Entradas Realizado</t>
        </is>
      </c>
      <c r="D23" s="23" t="inlineStr">
        <is>
          <t>Saídas Previsto</t>
        </is>
      </c>
      <c r="E23" s="23" t="inlineStr">
        <is>
          <t>Saídas Realizado</t>
        </is>
      </c>
    </row>
    <row r="24">
      <c r="A24" s="21">
        <f>'CONFIG'!$B$27</f>
        <v/>
      </c>
      <c r="B24" s="27">
        <f>IF($A24="","",IFERROR(SUMIFS('LANÇAMENTOS'!$H$5:$H$34,'LANÇAMENTOS'!$B$5:$B$34,"Entrada",'LANÇAMENTOS'!$C$5:$C$34,$A24,'LANÇAMENTOS'!$I$5:$I$34,"&gt;="&amp;$B$21,'LANÇAMENTOS'!$I$5:$I$34,"&lt;="&amp;EOMONTH($B$21,0)),0))</f>
        <v/>
      </c>
      <c r="C24" s="27">
        <f>IF($A24="","",IFERROR(IF(modo_apuracao="Conferencia",SUMIFS('LANÇAMENTOS'!$H$5:$H$34,'LANÇAMENTOS'!$B$5:$B$34,"Entrada",'LANÇAMENTOS'!$C$5:$C$34,$A24,'LANÇAMENTOS'!$K$5:$K$34,"Sim",'LANÇAMENTOS'!$I$5:$I$34,"&gt;="&amp;$B$21,'LANÇAMENTOS'!$I$5:$I$34,"&lt;="&amp;EOMONTH($B$21,0)),SUMIFS('LANÇAMENTOS'!$H$5:$H$34,'LANÇAMENTOS'!$B$5:$B$34,"Entrada",'LANÇAMENTOS'!$C$5:$C$34,$A24,'LANÇAMENTOS'!$I$5:$I$34,"&lt;="&amp;TODAY(),'LANÇAMENTOS'!$I$5:$I$34,"&gt;="&amp;$B$21,'LANÇAMENTOS'!$I$5:$I$34,"&lt;="&amp;EOMONTH($B$21,0))),0))</f>
        <v/>
      </c>
      <c r="D24" s="27">
        <f>IF($A24="","",IFERROR(SUMIFS('LANÇAMENTOS'!$H$5:$H$34,'LANÇAMENTOS'!$B$5:$B$34,"Saída",'LANÇAMENTOS'!$C$5:$C$34,$A24,'LANÇAMENTOS'!$I$5:$I$34,"&gt;="&amp;$B$21,'LANÇAMENTOS'!$I$5:$I$34,"&lt;="&amp;EOMONTH($B$21,0)),0))</f>
        <v/>
      </c>
      <c r="E24" s="27">
        <f>IF($A24="","",IFERROR(IF(modo_apuracao="Conferencia",SUMIFS('LANÇAMENTOS'!$H$5:$H$34,'LANÇAMENTOS'!$B$5:$B$34,"Saída",'LANÇAMENTOS'!$C$5:$C$34,$A24,'LANÇAMENTOS'!$K$5:$K$34,"Sim",'LANÇAMENTOS'!$I$5:$I$34,"&gt;="&amp;$B$21,'LANÇAMENTOS'!$I$5:$I$34,"&lt;="&amp;EOMONTH($B$21,0)),SUMIFS('LANÇAMENTOS'!$H$5:$H$34,'LANÇAMENTOS'!$B$5:$B$34,"Saída",'LANÇAMENTOS'!$C$5:$C$34,$A24,'LANÇAMENTOS'!$I$5:$I$34,"&lt;="&amp;TODAY(),'LANÇAMENTOS'!$I$5:$I$34,"&gt;="&amp;$B$21,'LANÇAMENTOS'!$I$5:$I$34,"&lt;="&amp;EOMONTH($B$21,0))),0))</f>
        <v/>
      </c>
    </row>
    <row r="25">
      <c r="A25" s="21">
        <f>'CONFIG'!$B$28</f>
        <v/>
      </c>
      <c r="B25" s="27">
        <f>IF($A25="","",IFERROR(SUMIFS('LANÇAMENTOS'!$H$5:$H$34,'LANÇAMENTOS'!$B$5:$B$34,"Entrada",'LANÇAMENTOS'!$C$5:$C$34,$A25,'LANÇAMENTOS'!$I$5:$I$34,"&gt;="&amp;$B$21,'LANÇAMENTOS'!$I$5:$I$34,"&lt;="&amp;EOMONTH($B$21,0)),0))</f>
        <v/>
      </c>
      <c r="C25" s="27">
        <f>IF($A25="","",IFERROR(IF(modo_apuracao="Conferencia",SUMIFS('LANÇAMENTOS'!$H$5:$H$34,'LANÇAMENTOS'!$B$5:$B$34,"Entrada",'LANÇAMENTOS'!$C$5:$C$34,$A25,'LANÇAMENTOS'!$K$5:$K$34,"Sim",'LANÇAMENTOS'!$I$5:$I$34,"&gt;="&amp;$B$21,'LANÇAMENTOS'!$I$5:$I$34,"&lt;="&amp;EOMONTH($B$21,0)),SUMIFS('LANÇAMENTOS'!$H$5:$H$34,'LANÇAMENTOS'!$B$5:$B$34,"Entrada",'LANÇAMENTOS'!$C$5:$C$34,$A25,'LANÇAMENTOS'!$I$5:$I$34,"&lt;="&amp;TODAY(),'LANÇAMENTOS'!$I$5:$I$34,"&gt;="&amp;$B$21,'LANÇAMENTOS'!$I$5:$I$34,"&lt;="&amp;EOMONTH($B$21,0))),0))</f>
        <v/>
      </c>
      <c r="D25" s="27">
        <f>IF($A25="","",IFERROR(SUMIFS('LANÇAMENTOS'!$H$5:$H$34,'LANÇAMENTOS'!$B$5:$B$34,"Saída",'LANÇAMENTOS'!$C$5:$C$34,$A25,'LANÇAMENTOS'!$I$5:$I$34,"&gt;="&amp;$B$21,'LANÇAMENTOS'!$I$5:$I$34,"&lt;="&amp;EOMONTH($B$21,0)),0))</f>
        <v/>
      </c>
      <c r="E25" s="27">
        <f>IF($A25="","",IFERROR(IF(modo_apuracao="Conferencia",SUMIFS('LANÇAMENTOS'!$H$5:$H$34,'LANÇAMENTOS'!$B$5:$B$34,"Saída",'LANÇAMENTOS'!$C$5:$C$34,$A25,'LANÇAMENTOS'!$K$5:$K$34,"Sim",'LANÇAMENTOS'!$I$5:$I$34,"&gt;="&amp;$B$21,'LANÇAMENTOS'!$I$5:$I$34,"&lt;="&amp;EOMONTH($B$21,0)),SUMIFS('LANÇAMENTOS'!$H$5:$H$34,'LANÇAMENTOS'!$B$5:$B$34,"Saída",'LANÇAMENTOS'!$C$5:$C$34,$A25,'LANÇAMENTOS'!$I$5:$I$34,"&lt;="&amp;TODAY(),'LANÇAMENTOS'!$I$5:$I$34,"&gt;="&amp;$B$21,'LANÇAMENTOS'!$I$5:$I$34,"&lt;="&amp;EOMONTH($B$21,0))),0))</f>
        <v/>
      </c>
    </row>
    <row r="26">
      <c r="A26" s="21">
        <f>'CONFIG'!$B$29</f>
        <v/>
      </c>
      <c r="B26" s="27">
        <f>IF($A26="","",IFERROR(SUMIFS('LANÇAMENTOS'!$H$5:$H$34,'LANÇAMENTOS'!$B$5:$B$34,"Entrada",'LANÇAMENTOS'!$C$5:$C$34,$A26,'LANÇAMENTOS'!$I$5:$I$34,"&gt;="&amp;$B$21,'LANÇAMENTOS'!$I$5:$I$34,"&lt;="&amp;EOMONTH($B$21,0)),0))</f>
        <v/>
      </c>
      <c r="C26" s="27">
        <f>IF($A26="","",IFERROR(IF(modo_apuracao="Conferencia",SUMIFS('LANÇAMENTOS'!$H$5:$H$34,'LANÇAMENTOS'!$B$5:$B$34,"Entrada",'LANÇAMENTOS'!$C$5:$C$34,$A26,'LANÇAMENTOS'!$K$5:$K$34,"Sim",'LANÇAMENTOS'!$I$5:$I$34,"&gt;="&amp;$B$21,'LANÇAMENTOS'!$I$5:$I$34,"&lt;="&amp;EOMONTH($B$21,0)),SUMIFS('LANÇAMENTOS'!$H$5:$H$34,'LANÇAMENTOS'!$B$5:$B$34,"Entrada",'LANÇAMENTOS'!$C$5:$C$34,$A26,'LANÇAMENTOS'!$I$5:$I$34,"&lt;="&amp;TODAY(),'LANÇAMENTOS'!$I$5:$I$34,"&gt;="&amp;$B$21,'LANÇAMENTOS'!$I$5:$I$34,"&lt;="&amp;EOMONTH($B$21,0))),0))</f>
        <v/>
      </c>
      <c r="D26" s="27">
        <f>IF($A26="","",IFERROR(SUMIFS('LANÇAMENTOS'!$H$5:$H$34,'LANÇAMENTOS'!$B$5:$B$34,"Saída",'LANÇAMENTOS'!$C$5:$C$34,$A26,'LANÇAMENTOS'!$I$5:$I$34,"&gt;="&amp;$B$21,'LANÇAMENTOS'!$I$5:$I$34,"&lt;="&amp;EOMONTH($B$21,0)),0))</f>
        <v/>
      </c>
      <c r="E26" s="27">
        <f>IF($A26="","",IFERROR(IF(modo_apuracao="Conferencia",SUMIFS('LANÇAMENTOS'!$H$5:$H$34,'LANÇAMENTOS'!$B$5:$B$34,"Saída",'LANÇAMENTOS'!$C$5:$C$34,$A26,'LANÇAMENTOS'!$K$5:$K$34,"Sim",'LANÇAMENTOS'!$I$5:$I$34,"&gt;="&amp;$B$21,'LANÇAMENTOS'!$I$5:$I$34,"&lt;="&amp;EOMONTH($B$21,0)),SUMIFS('LANÇAMENTOS'!$H$5:$H$34,'LANÇAMENTOS'!$B$5:$B$34,"Saída",'LANÇAMENTOS'!$C$5:$C$34,$A26,'LANÇAMENTOS'!$I$5:$I$34,"&lt;="&amp;TODAY(),'LANÇAMENTOS'!$I$5:$I$34,"&gt;="&amp;$B$21,'LANÇAMENTOS'!$I$5:$I$34,"&lt;="&amp;EOMONTH($B$21,0))),0))</f>
        <v/>
      </c>
    </row>
    <row r="27">
      <c r="A27" s="21">
        <f>'CONFIG'!$B$30</f>
        <v/>
      </c>
      <c r="B27" s="27">
        <f>IF($A27="","",IFERROR(SUMIFS('LANÇAMENTOS'!$H$5:$H$34,'LANÇAMENTOS'!$B$5:$B$34,"Entrada",'LANÇAMENTOS'!$C$5:$C$34,$A27,'LANÇAMENTOS'!$I$5:$I$34,"&gt;="&amp;$B$21,'LANÇAMENTOS'!$I$5:$I$34,"&lt;="&amp;EOMONTH($B$21,0)),0))</f>
        <v/>
      </c>
      <c r="C27" s="27">
        <f>IF($A27="","",IFERROR(IF(modo_apuracao="Conferencia",SUMIFS('LANÇAMENTOS'!$H$5:$H$34,'LANÇAMENTOS'!$B$5:$B$34,"Entrada",'LANÇAMENTOS'!$C$5:$C$34,$A27,'LANÇAMENTOS'!$K$5:$K$34,"Sim",'LANÇAMENTOS'!$I$5:$I$34,"&gt;="&amp;$B$21,'LANÇAMENTOS'!$I$5:$I$34,"&lt;="&amp;EOMONTH($B$21,0)),SUMIFS('LANÇAMENTOS'!$H$5:$H$34,'LANÇAMENTOS'!$B$5:$B$34,"Entrada",'LANÇAMENTOS'!$C$5:$C$34,$A27,'LANÇAMENTOS'!$I$5:$I$34,"&lt;="&amp;TODAY(),'LANÇAMENTOS'!$I$5:$I$34,"&gt;="&amp;$B$21,'LANÇAMENTOS'!$I$5:$I$34,"&lt;="&amp;EOMONTH($B$21,0))),0))</f>
        <v/>
      </c>
      <c r="D27" s="27">
        <f>IF($A27="","",IFERROR(SUMIFS('LANÇAMENTOS'!$H$5:$H$34,'LANÇAMENTOS'!$B$5:$B$34,"Saída",'LANÇAMENTOS'!$C$5:$C$34,$A27,'LANÇAMENTOS'!$I$5:$I$34,"&gt;="&amp;$B$21,'LANÇAMENTOS'!$I$5:$I$34,"&lt;="&amp;EOMONTH($B$21,0)),0))</f>
        <v/>
      </c>
      <c r="E27" s="27">
        <f>IF($A27="","",IFERROR(IF(modo_apuracao="Conferencia",SUMIFS('LANÇAMENTOS'!$H$5:$H$34,'LANÇAMENTOS'!$B$5:$B$34,"Saída",'LANÇAMENTOS'!$C$5:$C$34,$A27,'LANÇAMENTOS'!$K$5:$K$34,"Sim",'LANÇAMENTOS'!$I$5:$I$34,"&gt;="&amp;$B$21,'LANÇAMENTOS'!$I$5:$I$34,"&lt;="&amp;EOMONTH($B$21,0)),SUMIFS('LANÇAMENTOS'!$H$5:$H$34,'LANÇAMENTOS'!$B$5:$B$34,"Saída",'LANÇAMENTOS'!$C$5:$C$34,$A27,'LANÇAMENTOS'!$I$5:$I$34,"&lt;="&amp;TODAY(),'LANÇAMENTOS'!$I$5:$I$34,"&gt;="&amp;$B$21,'LANÇAMENTOS'!$I$5:$I$34,"&lt;="&amp;EOMONTH($B$21,0))),0))</f>
        <v/>
      </c>
    </row>
    <row r="28">
      <c r="A28" s="21">
        <f>'CONFIG'!$B$31</f>
        <v/>
      </c>
      <c r="B28" s="27">
        <f>IF($A28="","",IFERROR(SUMIFS('LANÇAMENTOS'!$H$5:$H$34,'LANÇAMENTOS'!$B$5:$B$34,"Entrada",'LANÇAMENTOS'!$C$5:$C$34,$A28,'LANÇAMENTOS'!$I$5:$I$34,"&gt;="&amp;$B$21,'LANÇAMENTOS'!$I$5:$I$34,"&lt;="&amp;EOMONTH($B$21,0)),0))</f>
        <v/>
      </c>
      <c r="C28" s="27">
        <f>IF($A28="","",IFERROR(IF(modo_apuracao="Conferencia",SUMIFS('LANÇAMENTOS'!$H$5:$H$34,'LANÇAMENTOS'!$B$5:$B$34,"Entrada",'LANÇAMENTOS'!$C$5:$C$34,$A28,'LANÇAMENTOS'!$K$5:$K$34,"Sim",'LANÇAMENTOS'!$I$5:$I$34,"&gt;="&amp;$B$21,'LANÇAMENTOS'!$I$5:$I$34,"&lt;="&amp;EOMONTH($B$21,0)),SUMIFS('LANÇAMENTOS'!$H$5:$H$34,'LANÇAMENTOS'!$B$5:$B$34,"Entrada",'LANÇAMENTOS'!$C$5:$C$34,$A28,'LANÇAMENTOS'!$I$5:$I$34,"&lt;="&amp;TODAY(),'LANÇAMENTOS'!$I$5:$I$34,"&gt;="&amp;$B$21,'LANÇAMENTOS'!$I$5:$I$34,"&lt;="&amp;EOMONTH($B$21,0))),0))</f>
        <v/>
      </c>
      <c r="D28" s="27">
        <f>IF($A28="","",IFERROR(SUMIFS('LANÇAMENTOS'!$H$5:$H$34,'LANÇAMENTOS'!$B$5:$B$34,"Saída",'LANÇAMENTOS'!$C$5:$C$34,$A28,'LANÇAMENTOS'!$I$5:$I$34,"&gt;="&amp;$B$21,'LANÇAMENTOS'!$I$5:$I$34,"&lt;="&amp;EOMONTH($B$21,0)),0))</f>
        <v/>
      </c>
      <c r="E28" s="27">
        <f>IF($A28="","",IFERROR(IF(modo_apuracao="Conferencia",SUMIFS('LANÇAMENTOS'!$H$5:$H$34,'LANÇAMENTOS'!$B$5:$B$34,"Saída",'LANÇAMENTOS'!$C$5:$C$34,$A28,'LANÇAMENTOS'!$K$5:$K$34,"Sim",'LANÇAMENTOS'!$I$5:$I$34,"&gt;="&amp;$B$21,'LANÇAMENTOS'!$I$5:$I$34,"&lt;="&amp;EOMONTH($B$21,0)),SUMIFS('LANÇAMENTOS'!$H$5:$H$34,'LANÇAMENTOS'!$B$5:$B$34,"Saída",'LANÇAMENTOS'!$C$5:$C$34,$A28,'LANÇAMENTOS'!$I$5:$I$34,"&lt;="&amp;TODAY(),'LANÇAMENTOS'!$I$5:$I$34,"&gt;="&amp;$B$21,'LANÇAMENTOS'!$I$5:$I$34,"&lt;="&amp;EOMONTH($B$21,0))),0))</f>
        <v/>
      </c>
    </row>
    <row r="29">
      <c r="A29" s="21">
        <f>'CONFIG'!$B$32</f>
        <v/>
      </c>
      <c r="B29" s="27">
        <f>IF($A29="","",IFERROR(SUMIFS('LANÇAMENTOS'!$H$5:$H$34,'LANÇAMENTOS'!$B$5:$B$34,"Entrada",'LANÇAMENTOS'!$C$5:$C$34,$A29,'LANÇAMENTOS'!$I$5:$I$34,"&gt;="&amp;$B$21,'LANÇAMENTOS'!$I$5:$I$34,"&lt;="&amp;EOMONTH($B$21,0)),0))</f>
        <v/>
      </c>
      <c r="C29" s="27">
        <f>IF($A29="","",IFERROR(IF(modo_apuracao="Conferencia",SUMIFS('LANÇAMENTOS'!$H$5:$H$34,'LANÇAMENTOS'!$B$5:$B$34,"Entrada",'LANÇAMENTOS'!$C$5:$C$34,$A29,'LANÇAMENTOS'!$K$5:$K$34,"Sim",'LANÇAMENTOS'!$I$5:$I$34,"&gt;="&amp;$B$21,'LANÇAMENTOS'!$I$5:$I$34,"&lt;="&amp;EOMONTH($B$21,0)),SUMIFS('LANÇAMENTOS'!$H$5:$H$34,'LANÇAMENTOS'!$B$5:$B$34,"Entrada",'LANÇAMENTOS'!$C$5:$C$34,$A29,'LANÇAMENTOS'!$I$5:$I$34,"&lt;="&amp;TODAY(),'LANÇAMENTOS'!$I$5:$I$34,"&gt;="&amp;$B$21,'LANÇAMENTOS'!$I$5:$I$34,"&lt;="&amp;EOMONTH($B$21,0))),0))</f>
        <v/>
      </c>
      <c r="D29" s="27">
        <f>IF($A29="","",IFERROR(SUMIFS('LANÇAMENTOS'!$H$5:$H$34,'LANÇAMENTOS'!$B$5:$B$34,"Saída",'LANÇAMENTOS'!$C$5:$C$34,$A29,'LANÇAMENTOS'!$I$5:$I$34,"&gt;="&amp;$B$21,'LANÇAMENTOS'!$I$5:$I$34,"&lt;="&amp;EOMONTH($B$21,0)),0))</f>
        <v/>
      </c>
      <c r="E29" s="27">
        <f>IF($A29="","",IFERROR(IF(modo_apuracao="Conferencia",SUMIFS('LANÇAMENTOS'!$H$5:$H$34,'LANÇAMENTOS'!$B$5:$B$34,"Saída",'LANÇAMENTOS'!$C$5:$C$34,$A29,'LANÇAMENTOS'!$K$5:$K$34,"Sim",'LANÇAMENTOS'!$I$5:$I$34,"&gt;="&amp;$B$21,'LANÇAMENTOS'!$I$5:$I$34,"&lt;="&amp;EOMONTH($B$21,0)),SUMIFS('LANÇAMENTOS'!$H$5:$H$34,'LANÇAMENTOS'!$B$5:$B$34,"Saída",'LANÇAMENTOS'!$C$5:$C$34,$A29,'LANÇAMENTOS'!$I$5:$I$34,"&lt;="&amp;TODAY(),'LANÇAMENTOS'!$I$5:$I$34,"&gt;="&amp;$B$21,'LANÇAMENTOS'!$I$5:$I$34,"&lt;="&amp;EOMONTH($B$21,0))),0))</f>
        <v/>
      </c>
    </row>
    <row r="30">
      <c r="A30" s="21">
        <f>'CONFIG'!$B$33</f>
        <v/>
      </c>
      <c r="B30" s="27">
        <f>IF($A30="","",IFERROR(SUMIFS('LANÇAMENTOS'!$H$5:$H$34,'LANÇAMENTOS'!$B$5:$B$34,"Entrada",'LANÇAMENTOS'!$C$5:$C$34,$A30,'LANÇAMENTOS'!$I$5:$I$34,"&gt;="&amp;$B$21,'LANÇAMENTOS'!$I$5:$I$34,"&lt;="&amp;EOMONTH($B$21,0)),0))</f>
        <v/>
      </c>
      <c r="C30" s="27">
        <f>IF($A30="","",IFERROR(IF(modo_apuracao="Conferencia",SUMIFS('LANÇAMENTOS'!$H$5:$H$34,'LANÇAMENTOS'!$B$5:$B$34,"Entrada",'LANÇAMENTOS'!$C$5:$C$34,$A30,'LANÇAMENTOS'!$K$5:$K$34,"Sim",'LANÇAMENTOS'!$I$5:$I$34,"&gt;="&amp;$B$21,'LANÇAMENTOS'!$I$5:$I$34,"&lt;="&amp;EOMONTH($B$21,0)),SUMIFS('LANÇAMENTOS'!$H$5:$H$34,'LANÇAMENTOS'!$B$5:$B$34,"Entrada",'LANÇAMENTOS'!$C$5:$C$34,$A30,'LANÇAMENTOS'!$I$5:$I$34,"&lt;="&amp;TODAY(),'LANÇAMENTOS'!$I$5:$I$34,"&gt;="&amp;$B$21,'LANÇAMENTOS'!$I$5:$I$34,"&lt;="&amp;EOMONTH($B$21,0))),0))</f>
        <v/>
      </c>
      <c r="D30" s="27">
        <f>IF($A30="","",IFERROR(SUMIFS('LANÇAMENTOS'!$H$5:$H$34,'LANÇAMENTOS'!$B$5:$B$34,"Saída",'LANÇAMENTOS'!$C$5:$C$34,$A30,'LANÇAMENTOS'!$I$5:$I$34,"&gt;="&amp;$B$21,'LANÇAMENTOS'!$I$5:$I$34,"&lt;="&amp;EOMONTH($B$21,0)),0))</f>
        <v/>
      </c>
      <c r="E30" s="27">
        <f>IF($A30="","",IFERROR(IF(modo_apuracao="Conferencia",SUMIFS('LANÇAMENTOS'!$H$5:$H$34,'LANÇAMENTOS'!$B$5:$B$34,"Saída",'LANÇAMENTOS'!$C$5:$C$34,$A30,'LANÇAMENTOS'!$K$5:$K$34,"Sim",'LANÇAMENTOS'!$I$5:$I$34,"&gt;="&amp;$B$21,'LANÇAMENTOS'!$I$5:$I$34,"&lt;="&amp;EOMONTH($B$21,0)),SUMIFS('LANÇAMENTOS'!$H$5:$H$34,'LANÇAMENTOS'!$B$5:$B$34,"Saída",'LANÇAMENTOS'!$C$5:$C$34,$A30,'LANÇAMENTOS'!$I$5:$I$34,"&lt;="&amp;TODAY(),'LANÇAMENTOS'!$I$5:$I$34,"&gt;="&amp;$B$21,'LANÇAMENTOS'!$I$5:$I$34,"&lt;="&amp;EOMONTH($B$21,0))),0))</f>
        <v/>
      </c>
    </row>
    <row r="31">
      <c r="A31" s="21">
        <f>'CONFIG'!$B$34</f>
        <v/>
      </c>
      <c r="B31" s="27">
        <f>IF($A31="","",IFERROR(SUMIFS('LANÇAMENTOS'!$H$5:$H$34,'LANÇAMENTOS'!$B$5:$B$34,"Entrada",'LANÇAMENTOS'!$C$5:$C$34,$A31,'LANÇAMENTOS'!$I$5:$I$34,"&gt;="&amp;$B$21,'LANÇAMENTOS'!$I$5:$I$34,"&lt;="&amp;EOMONTH($B$21,0)),0))</f>
        <v/>
      </c>
      <c r="C31" s="27">
        <f>IF($A31="","",IFERROR(IF(modo_apuracao="Conferencia",SUMIFS('LANÇAMENTOS'!$H$5:$H$34,'LANÇAMENTOS'!$B$5:$B$34,"Entrada",'LANÇAMENTOS'!$C$5:$C$34,$A31,'LANÇAMENTOS'!$K$5:$K$34,"Sim",'LANÇAMENTOS'!$I$5:$I$34,"&gt;="&amp;$B$21,'LANÇAMENTOS'!$I$5:$I$34,"&lt;="&amp;EOMONTH($B$21,0)),SUMIFS('LANÇAMENTOS'!$H$5:$H$34,'LANÇAMENTOS'!$B$5:$B$34,"Entrada",'LANÇAMENTOS'!$C$5:$C$34,$A31,'LANÇAMENTOS'!$I$5:$I$34,"&lt;="&amp;TODAY(),'LANÇAMENTOS'!$I$5:$I$34,"&gt;="&amp;$B$21,'LANÇAMENTOS'!$I$5:$I$34,"&lt;="&amp;EOMONTH($B$21,0))),0))</f>
        <v/>
      </c>
      <c r="D31" s="27">
        <f>IF($A31="","",IFERROR(SUMIFS('LANÇAMENTOS'!$H$5:$H$34,'LANÇAMENTOS'!$B$5:$B$34,"Saída",'LANÇAMENTOS'!$C$5:$C$34,$A31,'LANÇAMENTOS'!$I$5:$I$34,"&gt;="&amp;$B$21,'LANÇAMENTOS'!$I$5:$I$34,"&lt;="&amp;EOMONTH($B$21,0)),0))</f>
        <v/>
      </c>
      <c r="E31" s="27">
        <f>IF($A31="","",IFERROR(IF(modo_apuracao="Conferencia",SUMIFS('LANÇAMENTOS'!$H$5:$H$34,'LANÇAMENTOS'!$B$5:$B$34,"Saída",'LANÇAMENTOS'!$C$5:$C$34,$A31,'LANÇAMENTOS'!$K$5:$K$34,"Sim",'LANÇAMENTOS'!$I$5:$I$34,"&gt;="&amp;$B$21,'LANÇAMENTOS'!$I$5:$I$34,"&lt;="&amp;EOMONTH($B$21,0)),SUMIFS('LANÇAMENTOS'!$H$5:$H$34,'LANÇAMENTOS'!$B$5:$B$34,"Saída",'LANÇAMENTOS'!$C$5:$C$34,$A31,'LANÇAMENTOS'!$I$5:$I$34,"&lt;="&amp;TODAY(),'LANÇAMENTOS'!$I$5:$I$34,"&gt;="&amp;$B$21,'LANÇAMENTOS'!$I$5:$I$34,"&lt;="&amp;EOMONTH($B$21,0))),0))</f>
        <v/>
      </c>
    </row>
    <row r="32">
      <c r="A32" s="21">
        <f>'CONFIG'!$B$35</f>
        <v/>
      </c>
      <c r="B32" s="27">
        <f>IF($A32="","",IFERROR(SUMIFS('LANÇAMENTOS'!$H$5:$H$34,'LANÇAMENTOS'!$B$5:$B$34,"Entrada",'LANÇAMENTOS'!$C$5:$C$34,$A32,'LANÇAMENTOS'!$I$5:$I$34,"&gt;="&amp;$B$21,'LANÇAMENTOS'!$I$5:$I$34,"&lt;="&amp;EOMONTH($B$21,0)),0))</f>
        <v/>
      </c>
      <c r="C32" s="27">
        <f>IF($A32="","",IFERROR(IF(modo_apuracao="Conferencia",SUMIFS('LANÇAMENTOS'!$H$5:$H$34,'LANÇAMENTOS'!$B$5:$B$34,"Entrada",'LANÇAMENTOS'!$C$5:$C$34,$A32,'LANÇAMENTOS'!$K$5:$K$34,"Sim",'LANÇAMENTOS'!$I$5:$I$34,"&gt;="&amp;$B$21,'LANÇAMENTOS'!$I$5:$I$34,"&lt;="&amp;EOMONTH($B$21,0)),SUMIFS('LANÇAMENTOS'!$H$5:$H$34,'LANÇAMENTOS'!$B$5:$B$34,"Entrada",'LANÇAMENTOS'!$C$5:$C$34,$A32,'LANÇAMENTOS'!$I$5:$I$34,"&lt;="&amp;TODAY(),'LANÇAMENTOS'!$I$5:$I$34,"&gt;="&amp;$B$21,'LANÇAMENTOS'!$I$5:$I$34,"&lt;="&amp;EOMONTH($B$21,0))),0))</f>
        <v/>
      </c>
      <c r="D32" s="27">
        <f>IF($A32="","",IFERROR(SUMIFS('LANÇAMENTOS'!$H$5:$H$34,'LANÇAMENTOS'!$B$5:$B$34,"Saída",'LANÇAMENTOS'!$C$5:$C$34,$A32,'LANÇAMENTOS'!$I$5:$I$34,"&gt;="&amp;$B$21,'LANÇAMENTOS'!$I$5:$I$34,"&lt;="&amp;EOMONTH($B$21,0)),0))</f>
        <v/>
      </c>
      <c r="E32" s="27">
        <f>IF($A32="","",IFERROR(IF(modo_apuracao="Conferencia",SUMIFS('LANÇAMENTOS'!$H$5:$H$34,'LANÇAMENTOS'!$B$5:$B$34,"Saída",'LANÇAMENTOS'!$C$5:$C$34,$A32,'LANÇAMENTOS'!$K$5:$K$34,"Sim",'LANÇAMENTOS'!$I$5:$I$34,"&gt;="&amp;$B$21,'LANÇAMENTOS'!$I$5:$I$34,"&lt;="&amp;EOMONTH($B$21,0)),SUMIFS('LANÇAMENTOS'!$H$5:$H$34,'LANÇAMENTOS'!$B$5:$B$34,"Saída",'LANÇAMENTOS'!$C$5:$C$34,$A32,'LANÇAMENTOS'!$I$5:$I$34,"&lt;="&amp;TODAY(),'LANÇAMENTOS'!$I$5:$I$34,"&gt;="&amp;$B$21,'LANÇAMENTOS'!$I$5:$I$34,"&lt;="&amp;EOMONTH($B$21,0))),0))</f>
        <v/>
      </c>
    </row>
    <row r="33">
      <c r="A33" s="21">
        <f>'CONFIG'!$B$36</f>
        <v/>
      </c>
      <c r="B33" s="27">
        <f>IF($A33="","",IFERROR(SUMIFS('LANÇAMENTOS'!$H$5:$H$34,'LANÇAMENTOS'!$B$5:$B$34,"Entrada",'LANÇAMENTOS'!$C$5:$C$34,$A33,'LANÇAMENTOS'!$I$5:$I$34,"&gt;="&amp;$B$21,'LANÇAMENTOS'!$I$5:$I$34,"&lt;="&amp;EOMONTH($B$21,0)),0))</f>
        <v/>
      </c>
      <c r="C33" s="27">
        <f>IF($A33="","",IFERROR(IF(modo_apuracao="Conferencia",SUMIFS('LANÇAMENTOS'!$H$5:$H$34,'LANÇAMENTOS'!$B$5:$B$34,"Entrada",'LANÇAMENTOS'!$C$5:$C$34,$A33,'LANÇAMENTOS'!$K$5:$K$34,"Sim",'LANÇAMENTOS'!$I$5:$I$34,"&gt;="&amp;$B$21,'LANÇAMENTOS'!$I$5:$I$34,"&lt;="&amp;EOMONTH($B$21,0)),SUMIFS('LANÇAMENTOS'!$H$5:$H$34,'LANÇAMENTOS'!$B$5:$B$34,"Entrada",'LANÇAMENTOS'!$C$5:$C$34,$A33,'LANÇAMENTOS'!$I$5:$I$34,"&lt;="&amp;TODAY(),'LANÇAMENTOS'!$I$5:$I$34,"&gt;="&amp;$B$21,'LANÇAMENTOS'!$I$5:$I$34,"&lt;="&amp;EOMONTH($B$21,0))),0))</f>
        <v/>
      </c>
      <c r="D33" s="27">
        <f>IF($A33="","",IFERROR(SUMIFS('LANÇAMENTOS'!$H$5:$H$34,'LANÇAMENTOS'!$B$5:$B$34,"Saída",'LANÇAMENTOS'!$C$5:$C$34,$A33,'LANÇAMENTOS'!$I$5:$I$34,"&gt;="&amp;$B$21,'LANÇAMENTOS'!$I$5:$I$34,"&lt;="&amp;EOMONTH($B$21,0)),0))</f>
        <v/>
      </c>
      <c r="E33" s="27">
        <f>IF($A33="","",IFERROR(IF(modo_apuracao="Conferencia",SUMIFS('LANÇAMENTOS'!$H$5:$H$34,'LANÇAMENTOS'!$B$5:$B$34,"Saída",'LANÇAMENTOS'!$C$5:$C$34,$A33,'LANÇAMENTOS'!$K$5:$K$34,"Sim",'LANÇAMENTOS'!$I$5:$I$34,"&gt;="&amp;$B$21,'LANÇAMENTOS'!$I$5:$I$34,"&lt;="&amp;EOMONTH($B$21,0)),SUMIFS('LANÇAMENTOS'!$H$5:$H$34,'LANÇAMENTOS'!$B$5:$B$34,"Saída",'LANÇAMENTOS'!$C$5:$C$34,$A33,'LANÇAMENTOS'!$I$5:$I$34,"&lt;="&amp;TODAY(),'LANÇAMENTOS'!$I$5:$I$34,"&gt;="&amp;$B$21,'LANÇAMENTOS'!$I$5:$I$34,"&lt;="&amp;EOMONTH($B$21,0))),0))</f>
        <v/>
      </c>
    </row>
    <row r="34">
      <c r="A34" s="21">
        <f>'CONFIG'!$B$37</f>
        <v/>
      </c>
      <c r="B34" s="27">
        <f>IF($A34="","",IFERROR(SUMIFS('LANÇAMENTOS'!$H$5:$H$34,'LANÇAMENTOS'!$B$5:$B$34,"Entrada",'LANÇAMENTOS'!$C$5:$C$34,$A34,'LANÇAMENTOS'!$I$5:$I$34,"&gt;="&amp;$B$21,'LANÇAMENTOS'!$I$5:$I$34,"&lt;="&amp;EOMONTH($B$21,0)),0))</f>
        <v/>
      </c>
      <c r="C34" s="27">
        <f>IF($A34="","",IFERROR(IF(modo_apuracao="Conferencia",SUMIFS('LANÇAMENTOS'!$H$5:$H$34,'LANÇAMENTOS'!$B$5:$B$34,"Entrada",'LANÇAMENTOS'!$C$5:$C$34,$A34,'LANÇAMENTOS'!$K$5:$K$34,"Sim",'LANÇAMENTOS'!$I$5:$I$34,"&gt;="&amp;$B$21,'LANÇAMENTOS'!$I$5:$I$34,"&lt;="&amp;EOMONTH($B$21,0)),SUMIFS('LANÇAMENTOS'!$H$5:$H$34,'LANÇAMENTOS'!$B$5:$B$34,"Entrada",'LANÇAMENTOS'!$C$5:$C$34,$A34,'LANÇAMENTOS'!$I$5:$I$34,"&lt;="&amp;TODAY(),'LANÇAMENTOS'!$I$5:$I$34,"&gt;="&amp;$B$21,'LANÇAMENTOS'!$I$5:$I$34,"&lt;="&amp;EOMONTH($B$21,0))),0))</f>
        <v/>
      </c>
      <c r="D34" s="27">
        <f>IF($A34="","",IFERROR(SUMIFS('LANÇAMENTOS'!$H$5:$H$34,'LANÇAMENTOS'!$B$5:$B$34,"Saída",'LANÇAMENTOS'!$C$5:$C$34,$A34,'LANÇAMENTOS'!$I$5:$I$34,"&gt;="&amp;$B$21,'LANÇAMENTOS'!$I$5:$I$34,"&lt;="&amp;EOMONTH($B$21,0)),0))</f>
        <v/>
      </c>
      <c r="E34" s="27">
        <f>IF($A34="","",IFERROR(IF(modo_apuracao="Conferencia",SUMIFS('LANÇAMENTOS'!$H$5:$H$34,'LANÇAMENTOS'!$B$5:$B$34,"Saída",'LANÇAMENTOS'!$C$5:$C$34,$A34,'LANÇAMENTOS'!$K$5:$K$34,"Sim",'LANÇAMENTOS'!$I$5:$I$34,"&gt;="&amp;$B$21,'LANÇAMENTOS'!$I$5:$I$34,"&lt;="&amp;EOMONTH($B$21,0)),SUMIFS('LANÇAMENTOS'!$H$5:$H$34,'LANÇAMENTOS'!$B$5:$B$34,"Saída",'LANÇAMENTOS'!$C$5:$C$34,$A34,'LANÇAMENTOS'!$I$5:$I$34,"&lt;="&amp;TODAY(),'LANÇAMENTOS'!$I$5:$I$34,"&gt;="&amp;$B$21,'LANÇAMENTOS'!$I$5:$I$34,"&lt;="&amp;EOMONTH($B$21,0))),0))</f>
        <v/>
      </c>
    </row>
    <row r="35">
      <c r="A35" s="21">
        <f>'CONFIG'!$B$38</f>
        <v/>
      </c>
      <c r="B35" s="27">
        <f>IF($A35="","",IFERROR(SUMIFS('LANÇAMENTOS'!$H$5:$H$34,'LANÇAMENTOS'!$B$5:$B$34,"Entrada",'LANÇAMENTOS'!$C$5:$C$34,$A35,'LANÇAMENTOS'!$I$5:$I$34,"&gt;="&amp;$B$21,'LANÇAMENTOS'!$I$5:$I$34,"&lt;="&amp;EOMONTH($B$21,0)),0))</f>
        <v/>
      </c>
      <c r="C35" s="27">
        <f>IF($A35="","",IFERROR(IF(modo_apuracao="Conferencia",SUMIFS('LANÇAMENTOS'!$H$5:$H$34,'LANÇAMENTOS'!$B$5:$B$34,"Entrada",'LANÇAMENTOS'!$C$5:$C$34,$A35,'LANÇAMENTOS'!$K$5:$K$34,"Sim",'LANÇAMENTOS'!$I$5:$I$34,"&gt;="&amp;$B$21,'LANÇAMENTOS'!$I$5:$I$34,"&lt;="&amp;EOMONTH($B$21,0)),SUMIFS('LANÇAMENTOS'!$H$5:$H$34,'LANÇAMENTOS'!$B$5:$B$34,"Entrada",'LANÇAMENTOS'!$C$5:$C$34,$A35,'LANÇAMENTOS'!$I$5:$I$34,"&lt;="&amp;TODAY(),'LANÇAMENTOS'!$I$5:$I$34,"&gt;="&amp;$B$21,'LANÇAMENTOS'!$I$5:$I$34,"&lt;="&amp;EOMONTH($B$21,0))),0))</f>
        <v/>
      </c>
      <c r="D35" s="27">
        <f>IF($A35="","",IFERROR(SUMIFS('LANÇAMENTOS'!$H$5:$H$34,'LANÇAMENTOS'!$B$5:$B$34,"Saída",'LANÇAMENTOS'!$C$5:$C$34,$A35,'LANÇAMENTOS'!$I$5:$I$34,"&gt;="&amp;$B$21,'LANÇAMENTOS'!$I$5:$I$34,"&lt;="&amp;EOMONTH($B$21,0)),0))</f>
        <v/>
      </c>
      <c r="E35" s="27">
        <f>IF($A35="","",IFERROR(IF(modo_apuracao="Conferencia",SUMIFS('LANÇAMENTOS'!$H$5:$H$34,'LANÇAMENTOS'!$B$5:$B$34,"Saída",'LANÇAMENTOS'!$C$5:$C$34,$A35,'LANÇAMENTOS'!$K$5:$K$34,"Sim",'LANÇAMENTOS'!$I$5:$I$34,"&gt;="&amp;$B$21,'LANÇAMENTOS'!$I$5:$I$34,"&lt;="&amp;EOMONTH($B$21,0)),SUMIFS('LANÇAMENTOS'!$H$5:$H$34,'LANÇAMENTOS'!$B$5:$B$34,"Saída",'LANÇAMENTOS'!$C$5:$C$34,$A35,'LANÇAMENTOS'!$I$5:$I$34,"&lt;="&amp;TODAY(),'LANÇAMENTOS'!$I$5:$I$34,"&gt;="&amp;$B$21,'LANÇAMENTOS'!$I$5:$I$34,"&lt;="&amp;EOMONTH($B$21,0))),0))</f>
        <v/>
      </c>
    </row>
    <row r="36">
      <c r="A36" s="21">
        <f>'CONFIG'!$B$39</f>
        <v/>
      </c>
      <c r="B36" s="27">
        <f>IF($A36="","",IFERROR(SUMIFS('LANÇAMENTOS'!$H$5:$H$34,'LANÇAMENTOS'!$B$5:$B$34,"Entrada",'LANÇAMENTOS'!$C$5:$C$34,$A36,'LANÇAMENTOS'!$I$5:$I$34,"&gt;="&amp;$B$21,'LANÇAMENTOS'!$I$5:$I$34,"&lt;="&amp;EOMONTH($B$21,0)),0))</f>
        <v/>
      </c>
      <c r="C36" s="27">
        <f>IF($A36="","",IFERROR(IF(modo_apuracao="Conferencia",SUMIFS('LANÇAMENTOS'!$H$5:$H$34,'LANÇAMENTOS'!$B$5:$B$34,"Entrada",'LANÇAMENTOS'!$C$5:$C$34,$A36,'LANÇAMENTOS'!$K$5:$K$34,"Sim",'LANÇAMENTOS'!$I$5:$I$34,"&gt;="&amp;$B$21,'LANÇAMENTOS'!$I$5:$I$34,"&lt;="&amp;EOMONTH($B$21,0)),SUMIFS('LANÇAMENTOS'!$H$5:$H$34,'LANÇAMENTOS'!$B$5:$B$34,"Entrada",'LANÇAMENTOS'!$C$5:$C$34,$A36,'LANÇAMENTOS'!$I$5:$I$34,"&lt;="&amp;TODAY(),'LANÇAMENTOS'!$I$5:$I$34,"&gt;="&amp;$B$21,'LANÇAMENTOS'!$I$5:$I$34,"&lt;="&amp;EOMONTH($B$21,0))),0))</f>
        <v/>
      </c>
      <c r="D36" s="27">
        <f>IF($A36="","",IFERROR(SUMIFS('LANÇAMENTOS'!$H$5:$H$34,'LANÇAMENTOS'!$B$5:$B$34,"Saída",'LANÇAMENTOS'!$C$5:$C$34,$A36,'LANÇAMENTOS'!$I$5:$I$34,"&gt;="&amp;$B$21,'LANÇAMENTOS'!$I$5:$I$34,"&lt;="&amp;EOMONTH($B$21,0)),0))</f>
        <v/>
      </c>
      <c r="E36" s="27">
        <f>IF($A36="","",IFERROR(IF(modo_apuracao="Conferencia",SUMIFS('LANÇAMENTOS'!$H$5:$H$34,'LANÇAMENTOS'!$B$5:$B$34,"Saída",'LANÇAMENTOS'!$C$5:$C$34,$A36,'LANÇAMENTOS'!$K$5:$K$34,"Sim",'LANÇAMENTOS'!$I$5:$I$34,"&gt;="&amp;$B$21,'LANÇAMENTOS'!$I$5:$I$34,"&lt;="&amp;EOMONTH($B$21,0)),SUMIFS('LANÇAMENTOS'!$H$5:$H$34,'LANÇAMENTOS'!$B$5:$B$34,"Saída",'LANÇAMENTOS'!$C$5:$C$34,$A36,'LANÇAMENTOS'!$I$5:$I$34,"&lt;="&amp;TODAY(),'LANÇAMENTOS'!$I$5:$I$34,"&gt;="&amp;$B$21,'LANÇAMENTOS'!$I$5:$I$34,"&lt;="&amp;EOMONTH($B$21,0))),0))</f>
        <v/>
      </c>
    </row>
    <row r="37">
      <c r="A37" s="21">
        <f>'CONFIG'!$B$40</f>
        <v/>
      </c>
      <c r="B37" s="27">
        <f>IF($A37="","",IFERROR(SUMIFS('LANÇAMENTOS'!$H$5:$H$34,'LANÇAMENTOS'!$B$5:$B$34,"Entrada",'LANÇAMENTOS'!$C$5:$C$34,$A37,'LANÇAMENTOS'!$I$5:$I$34,"&gt;="&amp;$B$21,'LANÇAMENTOS'!$I$5:$I$34,"&lt;="&amp;EOMONTH($B$21,0)),0))</f>
        <v/>
      </c>
      <c r="C37" s="27">
        <f>IF($A37="","",IFERROR(IF(modo_apuracao="Conferencia",SUMIFS('LANÇAMENTOS'!$H$5:$H$34,'LANÇAMENTOS'!$B$5:$B$34,"Entrada",'LANÇAMENTOS'!$C$5:$C$34,$A37,'LANÇAMENTOS'!$K$5:$K$34,"Sim",'LANÇAMENTOS'!$I$5:$I$34,"&gt;="&amp;$B$21,'LANÇAMENTOS'!$I$5:$I$34,"&lt;="&amp;EOMONTH($B$21,0)),SUMIFS('LANÇAMENTOS'!$H$5:$H$34,'LANÇAMENTOS'!$B$5:$B$34,"Entrada",'LANÇAMENTOS'!$C$5:$C$34,$A37,'LANÇAMENTOS'!$I$5:$I$34,"&lt;="&amp;TODAY(),'LANÇAMENTOS'!$I$5:$I$34,"&gt;="&amp;$B$21,'LANÇAMENTOS'!$I$5:$I$34,"&lt;="&amp;EOMONTH($B$21,0))),0))</f>
        <v/>
      </c>
      <c r="D37" s="27">
        <f>IF($A37="","",IFERROR(SUMIFS('LANÇAMENTOS'!$H$5:$H$34,'LANÇAMENTOS'!$B$5:$B$34,"Saída",'LANÇAMENTOS'!$C$5:$C$34,$A37,'LANÇAMENTOS'!$I$5:$I$34,"&gt;="&amp;$B$21,'LANÇAMENTOS'!$I$5:$I$34,"&lt;="&amp;EOMONTH($B$21,0)),0))</f>
        <v/>
      </c>
      <c r="E37" s="27">
        <f>IF($A37="","",IFERROR(IF(modo_apuracao="Conferencia",SUMIFS('LANÇAMENTOS'!$H$5:$H$34,'LANÇAMENTOS'!$B$5:$B$34,"Saída",'LANÇAMENTOS'!$C$5:$C$34,$A37,'LANÇAMENTOS'!$K$5:$K$34,"Sim",'LANÇAMENTOS'!$I$5:$I$34,"&gt;="&amp;$B$21,'LANÇAMENTOS'!$I$5:$I$34,"&lt;="&amp;EOMONTH($B$21,0)),SUMIFS('LANÇAMENTOS'!$H$5:$H$34,'LANÇAMENTOS'!$B$5:$B$34,"Saída",'LANÇAMENTOS'!$C$5:$C$34,$A37,'LANÇAMENTOS'!$I$5:$I$34,"&lt;="&amp;TODAY(),'LANÇAMENTOS'!$I$5:$I$34,"&gt;="&amp;$B$21,'LANÇAMENTOS'!$I$5:$I$34,"&lt;="&amp;EOMONTH($B$21,0))),0))</f>
        <v/>
      </c>
    </row>
    <row r="38">
      <c r="A38" s="21">
        <f>'CONFIG'!$B$41</f>
        <v/>
      </c>
      <c r="B38" s="27">
        <f>IF($A38="","",IFERROR(SUMIFS('LANÇAMENTOS'!$H$5:$H$34,'LANÇAMENTOS'!$B$5:$B$34,"Entrada",'LANÇAMENTOS'!$C$5:$C$34,$A38,'LANÇAMENTOS'!$I$5:$I$34,"&gt;="&amp;$B$21,'LANÇAMENTOS'!$I$5:$I$34,"&lt;="&amp;EOMONTH($B$21,0)),0))</f>
        <v/>
      </c>
      <c r="C38" s="27">
        <f>IF($A38="","",IFERROR(IF(modo_apuracao="Conferencia",SUMIFS('LANÇAMENTOS'!$H$5:$H$34,'LANÇAMENTOS'!$B$5:$B$34,"Entrada",'LANÇAMENTOS'!$C$5:$C$34,$A38,'LANÇAMENTOS'!$K$5:$K$34,"Sim",'LANÇAMENTOS'!$I$5:$I$34,"&gt;="&amp;$B$21,'LANÇAMENTOS'!$I$5:$I$34,"&lt;="&amp;EOMONTH($B$21,0)),SUMIFS('LANÇAMENTOS'!$H$5:$H$34,'LANÇAMENTOS'!$B$5:$B$34,"Entrada",'LANÇAMENTOS'!$C$5:$C$34,$A38,'LANÇAMENTOS'!$I$5:$I$34,"&lt;="&amp;TODAY(),'LANÇAMENTOS'!$I$5:$I$34,"&gt;="&amp;$B$21,'LANÇAMENTOS'!$I$5:$I$34,"&lt;="&amp;EOMONTH($B$21,0))),0))</f>
        <v/>
      </c>
      <c r="D38" s="27">
        <f>IF($A38="","",IFERROR(SUMIFS('LANÇAMENTOS'!$H$5:$H$34,'LANÇAMENTOS'!$B$5:$B$34,"Saída",'LANÇAMENTOS'!$C$5:$C$34,$A38,'LANÇAMENTOS'!$I$5:$I$34,"&gt;="&amp;$B$21,'LANÇAMENTOS'!$I$5:$I$34,"&lt;="&amp;EOMONTH($B$21,0)),0))</f>
        <v/>
      </c>
      <c r="E38" s="27">
        <f>IF($A38="","",IFERROR(IF(modo_apuracao="Conferencia",SUMIFS('LANÇAMENTOS'!$H$5:$H$34,'LANÇAMENTOS'!$B$5:$B$34,"Saída",'LANÇAMENTOS'!$C$5:$C$34,$A38,'LANÇAMENTOS'!$K$5:$K$34,"Sim",'LANÇAMENTOS'!$I$5:$I$34,"&gt;="&amp;$B$21,'LANÇAMENTOS'!$I$5:$I$34,"&lt;="&amp;EOMONTH($B$21,0)),SUMIFS('LANÇAMENTOS'!$H$5:$H$34,'LANÇAMENTOS'!$B$5:$B$34,"Saída",'LANÇAMENTOS'!$C$5:$C$34,$A38,'LANÇAMENTOS'!$I$5:$I$34,"&lt;="&amp;TODAY(),'LANÇAMENTOS'!$I$5:$I$34,"&gt;="&amp;$B$21,'LANÇAMENTOS'!$I$5:$I$34,"&lt;="&amp;EOMONTH($B$21,0)))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 password="8235"/>
  <mergeCells count="2">
    <mergeCell ref="A3:G3"/>
    <mergeCell ref="A1:G1"/>
  </mergeCells>
  <dataValidations count="1">
    <dataValidation sqref="B21" showDropDown="0" showInputMessage="0" showErrorMessage="0" allowBlank="0" type="list">
      <formula1>='FLUXO DE CAIXA'!$A$6:$A$17</formula1>
    </dataValidation>
  </dataValidations>
  <hyperlinks>
    <hyperlink ref="B2" location="'INÍCIO'!A1"/>
    <hyperlink ref="C2" location="'CONFIG'!A1"/>
    <hyperlink ref="D2" location="'LANÇAMENTOS'!A1"/>
    <hyperlink ref="E2" location="'CONTAS A PAGAR-RECEBER'!A1"/>
    <hyperlink ref="F2" location="'DASHBOARD'!A1"/>
    <hyperlink ref="G2" location="'RELATÓRIO'!A1"/>
    <hyperlink ref="H2" location="'DÚVIDAS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" customWidth="1" min="10" max="10"/>
    <col width="1" customWidth="1" min="12" max="12"/>
  </cols>
  <sheetData>
    <row r="1" ht="26" customHeight="1">
      <c r="A1" s="10" t="inlineStr">
        <is>
          <t>W.D.S. — DASHBOARD</t>
        </is>
      </c>
    </row>
    <row r="2" ht="16" customHeight="1">
      <c r="A2" s="9" t="inlineStr">
        <is>
          <t>Ir para:</t>
        </is>
      </c>
      <c r="B2" s="8" t="inlineStr">
        <is>
          <t>INÍCIO</t>
        </is>
      </c>
      <c r="C2" s="8" t="inlineStr">
        <is>
          <t>CONFIG</t>
        </is>
      </c>
      <c r="D2" s="8" t="inlineStr">
        <is>
          <t>LANÇAMENTOS</t>
        </is>
      </c>
      <c r="E2" s="8" t="inlineStr">
        <is>
          <t>CONTAS A PAGAR-RECEBER</t>
        </is>
      </c>
      <c r="F2" s="8" t="inlineStr">
        <is>
          <t>FLUXO DE CAIXA</t>
        </is>
      </c>
      <c r="G2" s="8" t="inlineStr">
        <is>
          <t>RELATÓRIO</t>
        </is>
      </c>
      <c r="H2" s="8" t="inlineStr">
        <is>
          <t>DÚVIDAS</t>
        </is>
      </c>
    </row>
    <row r="3">
      <c r="A3" s="9" t="inlineStr">
        <is>
          <t>Indicadores e gráficos calculados automaticamente. Nada aqui é editável.</t>
        </is>
      </c>
    </row>
    <row r="5">
      <c r="A5" s="31" t="inlineStr">
        <is>
          <t>Saldo Atual</t>
        </is>
      </c>
      <c r="B5" s="33">
        <f>saldo_inicial+$L$5-$L$6</f>
        <v/>
      </c>
      <c r="J5" s="28">
        <f>DATE(YEAR(TODAY()),MONTH(TODAY()),1)</f>
        <v/>
      </c>
      <c r="L5" s="34">
        <f>IFERROR(IF(modo_apuracao="Conferencia",SUMIFS('LANÇAMENTOS'!$H$5:$H$34,'LANÇAMENTOS'!$B$5:$B$34,"Entrada",'LANÇAMENTOS'!$K$5:$K$34,"Sim"),SUMIFS('LANÇAMENTOS'!$H$5:$H$34,'LANÇAMENTOS'!$B$5:$B$34,"Entrada",'LANÇAMENTOS'!$I$5:$I$34,"&lt;="&amp;TODAY())),0)</f>
        <v/>
      </c>
    </row>
    <row r="6">
      <c r="A6" s="31" t="inlineStr">
        <is>
          <t>Entradas do Mês</t>
        </is>
      </c>
      <c r="B6" s="33">
        <f>IFERROR(IF(modo_apuracao="Conferencia",SUMIFS('LANÇAMENTOS'!$H$5:$H$34,'LANÇAMENTOS'!$B$5:$B$34,"Entrada",'LANÇAMENTOS'!$K$5:$K$34,"Sim",'LANÇAMENTOS'!$I$5:$I$34,"&gt;="&amp;$J$5,'LANÇAMENTOS'!$I$5:$I$34,"&lt;="&amp;$J$6),SUMIFS('LANÇAMENTOS'!$H$5:$H$34,'LANÇAMENTOS'!$B$5:$B$34,"Entrada",'LANÇAMENTOS'!$I$5:$I$34,"&lt;="&amp;TODAY(),'LANÇAMENTOS'!$I$5:$I$34,"&gt;="&amp;$J$5,'LANÇAMENTOS'!$I$5:$I$34,"&lt;="&amp;$J$6)),0)</f>
        <v/>
      </c>
      <c r="J6" s="28">
        <f>EOMONTH(J5,0)</f>
        <v/>
      </c>
      <c r="L6" s="34">
        <f>IFERROR(IF(modo_apuracao="Conferencia",SUMIFS('LANÇAMENTOS'!$H$5:$H$34,'LANÇAMENTOS'!$B$5:$B$34,"Saída",'LANÇAMENTOS'!$K$5:$K$34,"Sim"),SUMIFS('LANÇAMENTOS'!$H$5:$H$34,'LANÇAMENTOS'!$B$5:$B$34,"Saída",'LANÇAMENTOS'!$I$5:$I$34,"&lt;="&amp;TODAY())),0)</f>
        <v/>
      </c>
    </row>
    <row r="7">
      <c r="A7" s="31" t="inlineStr">
        <is>
          <t>Saídas do Mês</t>
        </is>
      </c>
      <c r="B7" s="33">
        <f>IFERROR(IF(modo_apuracao="Conferencia",SUMIFS('LANÇAMENTOS'!$H$5:$H$34,'LANÇAMENTOS'!$B$5:$B$34,"Saída",'LANÇAMENTOS'!$K$5:$K$34,"Sim",'LANÇAMENTOS'!$I$5:$I$34,"&gt;="&amp;$J$5,'LANÇAMENTOS'!$I$5:$I$34,"&lt;="&amp;$J$6),SUMIFS('LANÇAMENTOS'!$H$5:$H$34,'LANÇAMENTOS'!$B$5:$B$34,"Saída",'LANÇAMENTOS'!$I$5:$I$34,"&lt;="&amp;TODAY(),'LANÇAMENTOS'!$I$5:$I$34,"&gt;="&amp;$J$5,'LANÇAMENTOS'!$I$5:$I$34,"&lt;="&amp;$J$6)),0)</f>
        <v/>
      </c>
    </row>
    <row r="8">
      <c r="A8" s="31" t="inlineStr">
        <is>
          <t>Saldo Projetado Fim do Mês</t>
        </is>
      </c>
      <c r="B8" s="33">
        <f>$B$5+((IFERROR(SUMIFS('LANÇAMENTOS'!$H$5:$H$34,'LANÇAMENTOS'!$B$5:$B$34,"Entrada",'LANÇAMENTOS'!$I$5:$I$34,"&gt;="&amp;$J$5,'LANÇAMENTOS'!$I$5:$I$34,"&lt;="&amp;$J$6),0))-($B$6))-((IFERROR(SUMIFS('LANÇAMENTOS'!$H$5:$H$34,'LANÇAMENTOS'!$B$5:$B$34,"Saída",'LANÇAMENTOS'!$I$5:$I$34,"&gt;="&amp;$J$5,'LANÇAMENTOS'!$I$5:$I$34,"&lt;="&amp;$J$6),0))-($B$7))</f>
        <v/>
      </c>
    </row>
    <row r="11">
      <c r="A11" s="9" t="inlineStr">
        <is>
          <t>Dados auxiliares dos gráficos (não editar)</t>
        </is>
      </c>
    </row>
    <row r="12" ht="12" customHeight="1">
      <c r="A12" s="35" t="inlineStr">
        <is>
          <t>Mês</t>
        </is>
      </c>
      <c r="B12" s="35" t="inlineStr">
        <is>
          <t>Entradas</t>
        </is>
      </c>
      <c r="C12" s="35" t="inlineStr">
        <is>
          <t>Saídas</t>
        </is>
      </c>
    </row>
    <row r="13" ht="12" customHeight="1">
      <c r="A13" s="30">
        <f>DATE(YEAR(TODAY()),MONTH(TODAY())-5,1)</f>
        <v/>
      </c>
      <c r="B13" s="34">
        <f>IFERROR(IF(modo_apuracao="Conferencia",SUMIFS('LANÇAMENTOS'!$H$5:$H$34,'LANÇAMENTOS'!$B$5:$B$34,"Entrada",'LANÇAMENTOS'!$K$5:$K$34,"Sim",'LANÇAMENTOS'!$I$5:$I$34,"&gt;="&amp;(DATE(YEAR(TODAY()),MONTH(TODAY())-5,1)),'LANÇAMENTOS'!$I$5:$I$34,"&lt;="&amp;(EOMONTH(DATE(YEAR(TODAY()),MONTH(TODAY())-5,1),0))),SUMIFS('LANÇAMENTOS'!$H$5:$H$34,'LANÇAMENTOS'!$B$5:$B$34,"Entrada",'LANÇAMENTOS'!$I$5:$I$34,"&lt;="&amp;TODAY(),'LANÇAMENTOS'!$I$5:$I$34,"&gt;="&amp;(DATE(YEAR(TODAY()),MONTH(TODAY())-5,1)),'LANÇAMENTOS'!$I$5:$I$34,"&lt;="&amp;(EOMONTH(DATE(YEAR(TODAY()),MONTH(TODAY())-5,1),0)))),0)</f>
        <v/>
      </c>
      <c r="C13" s="34">
        <f>IFERROR(IF(modo_apuracao="Conferencia",SUMIFS('LANÇAMENTOS'!$H$5:$H$34,'LANÇAMENTOS'!$B$5:$B$34,"Saída",'LANÇAMENTOS'!$K$5:$K$34,"Sim",'LANÇAMENTOS'!$I$5:$I$34,"&gt;="&amp;(DATE(YEAR(TODAY()),MONTH(TODAY())-5,1)),'LANÇAMENTOS'!$I$5:$I$34,"&lt;="&amp;(EOMONTH(DATE(YEAR(TODAY()),MONTH(TODAY())-5,1),0))),SUMIFS('LANÇAMENTOS'!$H$5:$H$34,'LANÇAMENTOS'!$B$5:$B$34,"Saída",'LANÇAMENTOS'!$I$5:$I$34,"&lt;="&amp;TODAY(),'LANÇAMENTOS'!$I$5:$I$34,"&gt;="&amp;(DATE(YEAR(TODAY()),MONTH(TODAY())-5,1)),'LANÇAMENTOS'!$I$5:$I$34,"&lt;="&amp;(EOMONTH(DATE(YEAR(TODAY()),MONTH(TODAY())-5,1),0)))),0)</f>
        <v/>
      </c>
    </row>
    <row r="14" ht="12" customHeight="1">
      <c r="A14" s="30">
        <f>DATE(YEAR(TODAY()),MONTH(TODAY())-4,1)</f>
        <v/>
      </c>
      <c r="B14" s="34">
        <f>IFERROR(IF(modo_apuracao="Conferencia",SUMIFS('LANÇAMENTOS'!$H$5:$H$34,'LANÇAMENTOS'!$B$5:$B$34,"Entrada",'LANÇAMENTOS'!$K$5:$K$34,"Sim",'LANÇAMENTOS'!$I$5:$I$34,"&gt;="&amp;(DATE(YEAR(TODAY()),MONTH(TODAY())-4,1)),'LANÇAMENTOS'!$I$5:$I$34,"&lt;="&amp;(EOMONTH(DATE(YEAR(TODAY()),MONTH(TODAY())-4,1),0))),SUMIFS('LANÇAMENTOS'!$H$5:$H$34,'LANÇAMENTOS'!$B$5:$B$34,"Entrada",'LANÇAMENTOS'!$I$5:$I$34,"&lt;="&amp;TODAY(),'LANÇAMENTOS'!$I$5:$I$34,"&gt;="&amp;(DATE(YEAR(TODAY()),MONTH(TODAY())-4,1)),'LANÇAMENTOS'!$I$5:$I$34,"&lt;="&amp;(EOMONTH(DATE(YEAR(TODAY()),MONTH(TODAY())-4,1),0)))),0)</f>
        <v/>
      </c>
      <c r="C14" s="34">
        <f>IFERROR(IF(modo_apuracao="Conferencia",SUMIFS('LANÇAMENTOS'!$H$5:$H$34,'LANÇAMENTOS'!$B$5:$B$34,"Saída",'LANÇAMENTOS'!$K$5:$K$34,"Sim",'LANÇAMENTOS'!$I$5:$I$34,"&gt;="&amp;(DATE(YEAR(TODAY()),MONTH(TODAY())-4,1)),'LANÇAMENTOS'!$I$5:$I$34,"&lt;="&amp;(EOMONTH(DATE(YEAR(TODAY()),MONTH(TODAY())-4,1),0))),SUMIFS('LANÇAMENTOS'!$H$5:$H$34,'LANÇAMENTOS'!$B$5:$B$34,"Saída",'LANÇAMENTOS'!$I$5:$I$34,"&lt;="&amp;TODAY(),'LANÇAMENTOS'!$I$5:$I$34,"&gt;="&amp;(DATE(YEAR(TODAY()),MONTH(TODAY())-4,1)),'LANÇAMENTOS'!$I$5:$I$34,"&lt;="&amp;(EOMONTH(DATE(YEAR(TODAY()),MONTH(TODAY())-4,1),0)))),0)</f>
        <v/>
      </c>
    </row>
    <row r="15" ht="12" customHeight="1">
      <c r="A15" s="30">
        <f>DATE(YEAR(TODAY()),MONTH(TODAY())-3,1)</f>
        <v/>
      </c>
      <c r="B15" s="34">
        <f>IFERROR(IF(modo_apuracao="Conferencia",SUMIFS('LANÇAMENTOS'!$H$5:$H$34,'LANÇAMENTOS'!$B$5:$B$34,"Entrada",'LANÇAMENTOS'!$K$5:$K$34,"Sim",'LANÇAMENTOS'!$I$5:$I$34,"&gt;="&amp;(DATE(YEAR(TODAY()),MONTH(TODAY())-3,1)),'LANÇAMENTOS'!$I$5:$I$34,"&lt;="&amp;(EOMONTH(DATE(YEAR(TODAY()),MONTH(TODAY())-3,1),0))),SUMIFS('LANÇAMENTOS'!$H$5:$H$34,'LANÇAMENTOS'!$B$5:$B$34,"Entrada",'LANÇAMENTOS'!$I$5:$I$34,"&lt;="&amp;TODAY(),'LANÇAMENTOS'!$I$5:$I$34,"&gt;="&amp;(DATE(YEAR(TODAY()),MONTH(TODAY())-3,1)),'LANÇAMENTOS'!$I$5:$I$34,"&lt;="&amp;(EOMONTH(DATE(YEAR(TODAY()),MONTH(TODAY())-3,1),0)))),0)</f>
        <v/>
      </c>
      <c r="C15" s="34">
        <f>IFERROR(IF(modo_apuracao="Conferencia",SUMIFS('LANÇAMENTOS'!$H$5:$H$34,'LANÇAMENTOS'!$B$5:$B$34,"Saída",'LANÇAMENTOS'!$K$5:$K$34,"Sim",'LANÇAMENTOS'!$I$5:$I$34,"&gt;="&amp;(DATE(YEAR(TODAY()),MONTH(TODAY())-3,1)),'LANÇAMENTOS'!$I$5:$I$34,"&lt;="&amp;(EOMONTH(DATE(YEAR(TODAY()),MONTH(TODAY())-3,1),0))),SUMIFS('LANÇAMENTOS'!$H$5:$H$34,'LANÇAMENTOS'!$B$5:$B$34,"Saída",'LANÇAMENTOS'!$I$5:$I$34,"&lt;="&amp;TODAY(),'LANÇAMENTOS'!$I$5:$I$34,"&gt;="&amp;(DATE(YEAR(TODAY()),MONTH(TODAY())-3,1)),'LANÇAMENTOS'!$I$5:$I$34,"&lt;="&amp;(EOMONTH(DATE(YEAR(TODAY()),MONTH(TODAY())-3,1),0)))),0)</f>
        <v/>
      </c>
    </row>
    <row r="16" ht="12" customHeight="1">
      <c r="A16" s="30">
        <f>DATE(YEAR(TODAY()),MONTH(TODAY())-2,1)</f>
        <v/>
      </c>
      <c r="B16" s="34">
        <f>IFERROR(IF(modo_apuracao="Conferencia",SUMIFS('LANÇAMENTOS'!$H$5:$H$34,'LANÇAMENTOS'!$B$5:$B$34,"Entrada",'LANÇAMENTOS'!$K$5:$K$34,"Sim",'LANÇAMENTOS'!$I$5:$I$34,"&gt;="&amp;(DATE(YEAR(TODAY()),MONTH(TODAY())-2,1)),'LANÇAMENTOS'!$I$5:$I$34,"&lt;="&amp;(EOMONTH(DATE(YEAR(TODAY()),MONTH(TODAY())-2,1),0))),SUMIFS('LANÇAMENTOS'!$H$5:$H$34,'LANÇAMENTOS'!$B$5:$B$34,"Entrada",'LANÇAMENTOS'!$I$5:$I$34,"&lt;="&amp;TODAY(),'LANÇAMENTOS'!$I$5:$I$34,"&gt;="&amp;(DATE(YEAR(TODAY()),MONTH(TODAY())-2,1)),'LANÇAMENTOS'!$I$5:$I$34,"&lt;="&amp;(EOMONTH(DATE(YEAR(TODAY()),MONTH(TODAY())-2,1),0)))),0)</f>
        <v/>
      </c>
      <c r="C16" s="34">
        <f>IFERROR(IF(modo_apuracao="Conferencia",SUMIFS('LANÇAMENTOS'!$H$5:$H$34,'LANÇAMENTOS'!$B$5:$B$34,"Saída",'LANÇAMENTOS'!$K$5:$K$34,"Sim",'LANÇAMENTOS'!$I$5:$I$34,"&gt;="&amp;(DATE(YEAR(TODAY()),MONTH(TODAY())-2,1)),'LANÇAMENTOS'!$I$5:$I$34,"&lt;="&amp;(EOMONTH(DATE(YEAR(TODAY()),MONTH(TODAY())-2,1),0))),SUMIFS('LANÇAMENTOS'!$H$5:$H$34,'LANÇAMENTOS'!$B$5:$B$34,"Saída",'LANÇAMENTOS'!$I$5:$I$34,"&lt;="&amp;TODAY(),'LANÇAMENTOS'!$I$5:$I$34,"&gt;="&amp;(DATE(YEAR(TODAY()),MONTH(TODAY())-2,1)),'LANÇAMENTOS'!$I$5:$I$34,"&lt;="&amp;(EOMONTH(DATE(YEAR(TODAY()),MONTH(TODAY())-2,1),0)))),0)</f>
        <v/>
      </c>
    </row>
    <row r="17" ht="12" customHeight="1">
      <c r="A17" s="30">
        <f>DATE(YEAR(TODAY()),MONTH(TODAY())-1,1)</f>
        <v/>
      </c>
      <c r="B17" s="34">
        <f>IFERROR(IF(modo_apuracao="Conferencia",SUMIFS('LANÇAMENTOS'!$H$5:$H$34,'LANÇAMENTOS'!$B$5:$B$34,"Entrada",'LANÇAMENTOS'!$K$5:$K$34,"Sim",'LANÇAMENTOS'!$I$5:$I$34,"&gt;="&amp;(DATE(YEAR(TODAY()),MONTH(TODAY())-1,1)),'LANÇAMENTOS'!$I$5:$I$34,"&lt;="&amp;(EOMONTH(DATE(YEAR(TODAY()),MONTH(TODAY())-1,1),0))),SUMIFS('LANÇAMENTOS'!$H$5:$H$34,'LANÇAMENTOS'!$B$5:$B$34,"Entrada",'LANÇAMENTOS'!$I$5:$I$34,"&lt;="&amp;TODAY(),'LANÇAMENTOS'!$I$5:$I$34,"&gt;="&amp;(DATE(YEAR(TODAY()),MONTH(TODAY())-1,1)),'LANÇAMENTOS'!$I$5:$I$34,"&lt;="&amp;(EOMONTH(DATE(YEAR(TODAY()),MONTH(TODAY())-1,1),0)))),0)</f>
        <v/>
      </c>
      <c r="C17" s="34">
        <f>IFERROR(IF(modo_apuracao="Conferencia",SUMIFS('LANÇAMENTOS'!$H$5:$H$34,'LANÇAMENTOS'!$B$5:$B$34,"Saída",'LANÇAMENTOS'!$K$5:$K$34,"Sim",'LANÇAMENTOS'!$I$5:$I$34,"&gt;="&amp;(DATE(YEAR(TODAY()),MONTH(TODAY())-1,1)),'LANÇAMENTOS'!$I$5:$I$34,"&lt;="&amp;(EOMONTH(DATE(YEAR(TODAY()),MONTH(TODAY())-1,1),0))),SUMIFS('LANÇAMENTOS'!$H$5:$H$34,'LANÇAMENTOS'!$B$5:$B$34,"Saída",'LANÇAMENTOS'!$I$5:$I$34,"&lt;="&amp;TODAY(),'LANÇAMENTOS'!$I$5:$I$34,"&gt;="&amp;(DATE(YEAR(TODAY()),MONTH(TODAY())-1,1)),'LANÇAMENTOS'!$I$5:$I$34,"&lt;="&amp;(EOMONTH(DATE(YEAR(TODAY()),MONTH(TODAY())-1,1),0)))),0)</f>
        <v/>
      </c>
    </row>
    <row r="18" ht="12" customHeight="1">
      <c r="A18" s="30">
        <f>DATE(YEAR(TODAY()),MONTH(TODAY())-0,1)</f>
        <v/>
      </c>
      <c r="B18" s="34">
        <f>IFERROR(IF(modo_apuracao="Conferencia",SUMIFS('LANÇAMENTOS'!$H$5:$H$34,'LANÇAMENTOS'!$B$5:$B$34,"Entrada",'LANÇAMENTOS'!$K$5:$K$34,"Sim",'LANÇAMENTOS'!$I$5:$I$34,"&gt;="&amp;(DATE(YEAR(TODAY()),MONTH(TODAY())-0,1)),'LANÇAMENTOS'!$I$5:$I$34,"&lt;="&amp;(EOMONTH(DATE(YEAR(TODAY()),MONTH(TODAY())-0,1),0))),SUMIFS('LANÇAMENTOS'!$H$5:$H$34,'LANÇAMENTOS'!$B$5:$B$34,"Entrada",'LANÇAMENTOS'!$I$5:$I$34,"&lt;="&amp;TODAY(),'LANÇAMENTOS'!$I$5:$I$34,"&gt;="&amp;(DATE(YEAR(TODAY()),MONTH(TODAY())-0,1)),'LANÇAMENTOS'!$I$5:$I$34,"&lt;="&amp;(EOMONTH(DATE(YEAR(TODAY()),MONTH(TODAY())-0,1),0)))),0)</f>
        <v/>
      </c>
      <c r="C18" s="34">
        <f>IFERROR(IF(modo_apuracao="Conferencia",SUMIFS('LANÇAMENTOS'!$H$5:$H$34,'LANÇAMENTOS'!$B$5:$B$34,"Saída",'LANÇAMENTOS'!$K$5:$K$34,"Sim",'LANÇAMENTOS'!$I$5:$I$34,"&gt;="&amp;(DATE(YEAR(TODAY()),MONTH(TODAY())-0,1)),'LANÇAMENTOS'!$I$5:$I$34,"&lt;="&amp;(EOMONTH(DATE(YEAR(TODAY()),MONTH(TODAY())-0,1),0))),SUMIFS('LANÇAMENTOS'!$H$5:$H$34,'LANÇAMENTOS'!$B$5:$B$34,"Saída",'LANÇAMENTOS'!$I$5:$I$34,"&lt;="&amp;TODAY(),'LANÇAMENTOS'!$I$5:$I$34,"&gt;="&amp;(DATE(YEAR(TODAY()),MONTH(TODAY())-0,1)),'LANÇAMENTOS'!$I$5:$I$34,"&lt;="&amp;(EOMONTH(DATE(YEAR(TODAY()),MONTH(TODAY())-0,1),0)))),0)</f>
        <v/>
      </c>
    </row>
    <row r="19" ht="12" customHeight="1"/>
    <row r="20" ht="12" customHeight="1">
      <c r="A20" s="35" t="inlineStr">
        <is>
          <t>Categoria</t>
        </is>
      </c>
      <c r="B20" s="35" t="inlineStr">
        <is>
          <t>Despesas do Mês</t>
        </is>
      </c>
    </row>
    <row r="21" ht="12" customHeight="1">
      <c r="A21" s="21">
        <f>'FLUXO DE CAIXA'!$A$24</f>
        <v/>
      </c>
      <c r="B21" s="34">
        <f>IF($A21="",0,IFERROR(IF(modo_apuracao="Conferencia",SUMIFS('LANÇAMENTOS'!$H$5:$H$34,'LANÇAMENTOS'!$B$5:$B$34,"Saída",'LANÇAMENTOS'!$C$5:$C$34,$A21,'LANÇAMENTOS'!$K$5:$K$34,"Sim",'LANÇAMENTOS'!$I$5:$I$34,"&gt;="&amp;$J$5,'LANÇAMENTOS'!$I$5:$I$34,"&lt;="&amp;$J$6),SUMIFS('LANÇAMENTOS'!$H$5:$H$34,'LANÇAMENTOS'!$B$5:$B$34,"Saída",'LANÇAMENTOS'!$C$5:$C$34,$A21,'LANÇAMENTOS'!$I$5:$I$34,"&lt;="&amp;TODAY(),'LANÇAMENTOS'!$I$5:$I$34,"&gt;="&amp;$J$5,'LANÇAMENTOS'!$I$5:$I$34,"&lt;="&amp;$J$6)),0))</f>
        <v/>
      </c>
    </row>
    <row r="22" ht="12" customHeight="1">
      <c r="A22" s="21">
        <f>'FLUXO DE CAIXA'!$A$25</f>
        <v/>
      </c>
      <c r="B22" s="34">
        <f>IF($A22="",0,IFERROR(IF(modo_apuracao="Conferencia",SUMIFS('LANÇAMENTOS'!$H$5:$H$34,'LANÇAMENTOS'!$B$5:$B$34,"Saída",'LANÇAMENTOS'!$C$5:$C$34,$A22,'LANÇAMENTOS'!$K$5:$K$34,"Sim",'LANÇAMENTOS'!$I$5:$I$34,"&gt;="&amp;$J$5,'LANÇAMENTOS'!$I$5:$I$34,"&lt;="&amp;$J$6),SUMIFS('LANÇAMENTOS'!$H$5:$H$34,'LANÇAMENTOS'!$B$5:$B$34,"Saída",'LANÇAMENTOS'!$C$5:$C$34,$A22,'LANÇAMENTOS'!$I$5:$I$34,"&lt;="&amp;TODAY(),'LANÇAMENTOS'!$I$5:$I$34,"&gt;="&amp;$J$5,'LANÇAMENTOS'!$I$5:$I$34,"&lt;="&amp;$J$6)),0))</f>
        <v/>
      </c>
    </row>
    <row r="23" ht="12" customHeight="1">
      <c r="A23" s="21">
        <f>'FLUXO DE CAIXA'!$A$26</f>
        <v/>
      </c>
      <c r="B23" s="34">
        <f>IF($A23="",0,IFERROR(IF(modo_apuracao="Conferencia",SUMIFS('LANÇAMENTOS'!$H$5:$H$34,'LANÇAMENTOS'!$B$5:$B$34,"Saída",'LANÇAMENTOS'!$C$5:$C$34,$A23,'LANÇAMENTOS'!$K$5:$K$34,"Sim",'LANÇAMENTOS'!$I$5:$I$34,"&gt;="&amp;$J$5,'LANÇAMENTOS'!$I$5:$I$34,"&lt;="&amp;$J$6),SUMIFS('LANÇAMENTOS'!$H$5:$H$34,'LANÇAMENTOS'!$B$5:$B$34,"Saída",'LANÇAMENTOS'!$C$5:$C$34,$A23,'LANÇAMENTOS'!$I$5:$I$34,"&lt;="&amp;TODAY(),'LANÇAMENTOS'!$I$5:$I$34,"&gt;="&amp;$J$5,'LANÇAMENTOS'!$I$5:$I$34,"&lt;="&amp;$J$6)),0))</f>
        <v/>
      </c>
    </row>
    <row r="24" ht="12" customHeight="1">
      <c r="A24" s="21">
        <f>'FLUXO DE CAIXA'!$A$27</f>
        <v/>
      </c>
      <c r="B24" s="34">
        <f>IF($A24="",0,IFERROR(IF(modo_apuracao="Conferencia",SUMIFS('LANÇAMENTOS'!$H$5:$H$34,'LANÇAMENTOS'!$B$5:$B$34,"Saída",'LANÇAMENTOS'!$C$5:$C$34,$A24,'LANÇAMENTOS'!$K$5:$K$34,"Sim",'LANÇAMENTOS'!$I$5:$I$34,"&gt;="&amp;$J$5,'LANÇAMENTOS'!$I$5:$I$34,"&lt;="&amp;$J$6),SUMIFS('LANÇAMENTOS'!$H$5:$H$34,'LANÇAMENTOS'!$B$5:$B$34,"Saída",'LANÇAMENTOS'!$C$5:$C$34,$A24,'LANÇAMENTOS'!$I$5:$I$34,"&lt;="&amp;TODAY(),'LANÇAMENTOS'!$I$5:$I$34,"&gt;="&amp;$J$5,'LANÇAMENTOS'!$I$5:$I$34,"&lt;="&amp;$J$6)),0))</f>
        <v/>
      </c>
    </row>
    <row r="25" ht="12" customHeight="1">
      <c r="A25" s="21">
        <f>'FLUXO DE CAIXA'!$A$28</f>
        <v/>
      </c>
      <c r="B25" s="34">
        <f>IF($A25="",0,IFERROR(IF(modo_apuracao="Conferencia",SUMIFS('LANÇAMENTOS'!$H$5:$H$34,'LANÇAMENTOS'!$B$5:$B$34,"Saída",'LANÇAMENTOS'!$C$5:$C$34,$A25,'LANÇAMENTOS'!$K$5:$K$34,"Sim",'LANÇAMENTOS'!$I$5:$I$34,"&gt;="&amp;$J$5,'LANÇAMENTOS'!$I$5:$I$34,"&lt;="&amp;$J$6),SUMIFS('LANÇAMENTOS'!$H$5:$H$34,'LANÇAMENTOS'!$B$5:$B$34,"Saída",'LANÇAMENTOS'!$C$5:$C$34,$A25,'LANÇAMENTOS'!$I$5:$I$34,"&lt;="&amp;TODAY(),'LANÇAMENTOS'!$I$5:$I$34,"&gt;="&amp;$J$5,'LANÇAMENTOS'!$I$5:$I$34,"&lt;="&amp;$J$6)),0))</f>
        <v/>
      </c>
    </row>
    <row r="26" ht="12" customHeight="1">
      <c r="A26" s="21">
        <f>'FLUXO DE CAIXA'!$A$29</f>
        <v/>
      </c>
      <c r="B26" s="34">
        <f>IF($A26="",0,IFERROR(IF(modo_apuracao="Conferencia",SUMIFS('LANÇAMENTOS'!$H$5:$H$34,'LANÇAMENTOS'!$B$5:$B$34,"Saída",'LANÇAMENTOS'!$C$5:$C$34,$A26,'LANÇAMENTOS'!$K$5:$K$34,"Sim",'LANÇAMENTOS'!$I$5:$I$34,"&gt;="&amp;$J$5,'LANÇAMENTOS'!$I$5:$I$34,"&lt;="&amp;$J$6),SUMIFS('LANÇAMENTOS'!$H$5:$H$34,'LANÇAMENTOS'!$B$5:$B$34,"Saída",'LANÇAMENTOS'!$C$5:$C$34,$A26,'LANÇAMENTOS'!$I$5:$I$34,"&lt;="&amp;TODAY(),'LANÇAMENTOS'!$I$5:$I$34,"&gt;="&amp;$J$5,'LANÇAMENTOS'!$I$5:$I$34,"&lt;="&amp;$J$6)),0))</f>
        <v/>
      </c>
    </row>
    <row r="27" ht="12" customHeight="1">
      <c r="A27" s="21">
        <f>'FLUXO DE CAIXA'!$A$30</f>
        <v/>
      </c>
      <c r="B27" s="34">
        <f>IF($A27="",0,IFERROR(IF(modo_apuracao="Conferencia",SUMIFS('LANÇAMENTOS'!$H$5:$H$34,'LANÇAMENTOS'!$B$5:$B$34,"Saída",'LANÇAMENTOS'!$C$5:$C$34,$A27,'LANÇAMENTOS'!$K$5:$K$34,"Sim",'LANÇAMENTOS'!$I$5:$I$34,"&gt;="&amp;$J$5,'LANÇAMENTOS'!$I$5:$I$34,"&lt;="&amp;$J$6),SUMIFS('LANÇAMENTOS'!$H$5:$H$34,'LANÇAMENTOS'!$B$5:$B$34,"Saída",'LANÇAMENTOS'!$C$5:$C$34,$A27,'LANÇAMENTOS'!$I$5:$I$34,"&lt;="&amp;TODAY(),'LANÇAMENTOS'!$I$5:$I$34,"&gt;="&amp;$J$5,'LANÇAMENTOS'!$I$5:$I$34,"&lt;="&amp;$J$6)),0))</f>
        <v/>
      </c>
    </row>
    <row r="28" ht="12" customHeight="1">
      <c r="A28" s="21">
        <f>'FLUXO DE CAIXA'!$A$31</f>
        <v/>
      </c>
      <c r="B28" s="34">
        <f>IF($A28="",0,IFERROR(IF(modo_apuracao="Conferencia",SUMIFS('LANÇAMENTOS'!$H$5:$H$34,'LANÇAMENTOS'!$B$5:$B$34,"Saída",'LANÇAMENTOS'!$C$5:$C$34,$A28,'LANÇAMENTOS'!$K$5:$K$34,"Sim",'LANÇAMENTOS'!$I$5:$I$34,"&gt;="&amp;$J$5,'LANÇAMENTOS'!$I$5:$I$34,"&lt;="&amp;$J$6),SUMIFS('LANÇAMENTOS'!$H$5:$H$34,'LANÇAMENTOS'!$B$5:$B$34,"Saída",'LANÇAMENTOS'!$C$5:$C$34,$A28,'LANÇAMENTOS'!$I$5:$I$34,"&lt;="&amp;TODAY(),'LANÇAMENTOS'!$I$5:$I$34,"&gt;="&amp;$J$5,'LANÇAMENTOS'!$I$5:$I$34,"&lt;="&amp;$J$6)),0))</f>
        <v/>
      </c>
    </row>
    <row r="29" ht="12" customHeight="1">
      <c r="A29" s="21">
        <f>'FLUXO DE CAIXA'!$A$32</f>
        <v/>
      </c>
      <c r="B29" s="34">
        <f>IF($A29="",0,IFERROR(IF(modo_apuracao="Conferencia",SUMIFS('LANÇAMENTOS'!$H$5:$H$34,'LANÇAMENTOS'!$B$5:$B$34,"Saída",'LANÇAMENTOS'!$C$5:$C$34,$A29,'LANÇAMENTOS'!$K$5:$K$34,"Sim",'LANÇAMENTOS'!$I$5:$I$34,"&gt;="&amp;$J$5,'LANÇAMENTOS'!$I$5:$I$34,"&lt;="&amp;$J$6),SUMIFS('LANÇAMENTOS'!$H$5:$H$34,'LANÇAMENTOS'!$B$5:$B$34,"Saída",'LANÇAMENTOS'!$C$5:$C$34,$A29,'LANÇAMENTOS'!$I$5:$I$34,"&lt;="&amp;TODAY(),'LANÇAMENTOS'!$I$5:$I$34,"&gt;="&amp;$J$5,'LANÇAMENTOS'!$I$5:$I$34,"&lt;="&amp;$J$6)),0))</f>
        <v/>
      </c>
    </row>
    <row r="30" ht="12" customHeight="1">
      <c r="A30" s="21">
        <f>'FLUXO DE CAIXA'!$A$33</f>
        <v/>
      </c>
      <c r="B30" s="34">
        <f>IF($A30="",0,IFERROR(IF(modo_apuracao="Conferencia",SUMIFS('LANÇAMENTOS'!$H$5:$H$34,'LANÇAMENTOS'!$B$5:$B$34,"Saída",'LANÇAMENTOS'!$C$5:$C$34,$A30,'LANÇAMENTOS'!$K$5:$K$34,"Sim",'LANÇAMENTOS'!$I$5:$I$34,"&gt;="&amp;$J$5,'LANÇAMENTOS'!$I$5:$I$34,"&lt;="&amp;$J$6),SUMIFS('LANÇAMENTOS'!$H$5:$H$34,'LANÇAMENTOS'!$B$5:$B$34,"Saída",'LANÇAMENTOS'!$C$5:$C$34,$A30,'LANÇAMENTOS'!$I$5:$I$34,"&lt;="&amp;TODAY(),'LANÇAMENTOS'!$I$5:$I$34,"&gt;="&amp;$J$5,'LANÇAMENTOS'!$I$5:$I$34,"&lt;="&amp;$J$6)),0))</f>
        <v/>
      </c>
    </row>
    <row r="31" ht="12" customHeight="1">
      <c r="A31" s="21">
        <f>'FLUXO DE CAIXA'!$A$34</f>
        <v/>
      </c>
      <c r="B31" s="34">
        <f>IF($A31="",0,IFERROR(IF(modo_apuracao="Conferencia",SUMIFS('LANÇAMENTOS'!$H$5:$H$34,'LANÇAMENTOS'!$B$5:$B$34,"Saída",'LANÇAMENTOS'!$C$5:$C$34,$A31,'LANÇAMENTOS'!$K$5:$K$34,"Sim",'LANÇAMENTOS'!$I$5:$I$34,"&gt;="&amp;$J$5,'LANÇAMENTOS'!$I$5:$I$34,"&lt;="&amp;$J$6),SUMIFS('LANÇAMENTOS'!$H$5:$H$34,'LANÇAMENTOS'!$B$5:$B$34,"Saída",'LANÇAMENTOS'!$C$5:$C$34,$A31,'LANÇAMENTOS'!$I$5:$I$34,"&lt;="&amp;TODAY(),'LANÇAMENTOS'!$I$5:$I$34,"&gt;="&amp;$J$5,'LANÇAMENTOS'!$I$5:$I$34,"&lt;="&amp;$J$6)),0))</f>
        <v/>
      </c>
    </row>
    <row r="32" ht="12" customHeight="1">
      <c r="A32" s="21">
        <f>'FLUXO DE CAIXA'!$A$35</f>
        <v/>
      </c>
      <c r="B32" s="34">
        <f>IF($A32="",0,IFERROR(IF(modo_apuracao="Conferencia",SUMIFS('LANÇAMENTOS'!$H$5:$H$34,'LANÇAMENTOS'!$B$5:$B$34,"Saída",'LANÇAMENTOS'!$C$5:$C$34,$A32,'LANÇAMENTOS'!$K$5:$K$34,"Sim",'LANÇAMENTOS'!$I$5:$I$34,"&gt;="&amp;$J$5,'LANÇAMENTOS'!$I$5:$I$34,"&lt;="&amp;$J$6),SUMIFS('LANÇAMENTOS'!$H$5:$H$34,'LANÇAMENTOS'!$B$5:$B$34,"Saída",'LANÇAMENTOS'!$C$5:$C$34,$A32,'LANÇAMENTOS'!$I$5:$I$34,"&lt;="&amp;TODAY(),'LANÇAMENTOS'!$I$5:$I$34,"&gt;="&amp;$J$5,'LANÇAMENTOS'!$I$5:$I$34,"&lt;="&amp;$J$6)),0))</f>
        <v/>
      </c>
    </row>
    <row r="33" ht="12" customHeight="1">
      <c r="A33" s="21">
        <f>'FLUXO DE CAIXA'!$A$36</f>
        <v/>
      </c>
      <c r="B33" s="34">
        <f>IF($A33="",0,IFERROR(IF(modo_apuracao="Conferencia",SUMIFS('LANÇAMENTOS'!$H$5:$H$34,'LANÇAMENTOS'!$B$5:$B$34,"Saída",'LANÇAMENTOS'!$C$5:$C$34,$A33,'LANÇAMENTOS'!$K$5:$K$34,"Sim",'LANÇAMENTOS'!$I$5:$I$34,"&gt;="&amp;$J$5,'LANÇAMENTOS'!$I$5:$I$34,"&lt;="&amp;$J$6),SUMIFS('LANÇAMENTOS'!$H$5:$H$34,'LANÇAMENTOS'!$B$5:$B$34,"Saída",'LANÇAMENTOS'!$C$5:$C$34,$A33,'LANÇAMENTOS'!$I$5:$I$34,"&lt;="&amp;TODAY(),'LANÇAMENTOS'!$I$5:$I$34,"&gt;="&amp;$J$5,'LANÇAMENTOS'!$I$5:$I$34,"&lt;="&amp;$J$6)),0))</f>
        <v/>
      </c>
    </row>
    <row r="34" ht="12" customHeight="1">
      <c r="A34" s="21">
        <f>'FLUXO DE CAIXA'!$A$37</f>
        <v/>
      </c>
      <c r="B34" s="34">
        <f>IF($A34="",0,IFERROR(IF(modo_apuracao="Conferencia",SUMIFS('LANÇAMENTOS'!$H$5:$H$34,'LANÇAMENTOS'!$B$5:$B$34,"Saída",'LANÇAMENTOS'!$C$5:$C$34,$A34,'LANÇAMENTOS'!$K$5:$K$34,"Sim",'LANÇAMENTOS'!$I$5:$I$34,"&gt;="&amp;$J$5,'LANÇAMENTOS'!$I$5:$I$34,"&lt;="&amp;$J$6),SUMIFS('LANÇAMENTOS'!$H$5:$H$34,'LANÇAMENTOS'!$B$5:$B$34,"Saída",'LANÇAMENTOS'!$C$5:$C$34,$A34,'LANÇAMENTOS'!$I$5:$I$34,"&lt;="&amp;TODAY(),'LANÇAMENTOS'!$I$5:$I$34,"&gt;="&amp;$J$5,'LANÇAMENTOS'!$I$5:$I$34,"&lt;="&amp;$J$6)),0))</f>
        <v/>
      </c>
    </row>
    <row r="35" ht="12" customHeight="1">
      <c r="A35" s="21">
        <f>'FLUXO DE CAIXA'!$A$38</f>
        <v/>
      </c>
      <c r="B35" s="34">
        <f>IF($A35="",0,IFERROR(IF(modo_apuracao="Conferencia",SUMIFS('LANÇAMENTOS'!$H$5:$H$34,'LANÇAMENTOS'!$B$5:$B$34,"Saída",'LANÇAMENTOS'!$C$5:$C$34,$A35,'LANÇAMENTOS'!$K$5:$K$34,"Sim",'LANÇAMENTOS'!$I$5:$I$34,"&gt;="&amp;$J$5,'LANÇAMENTOS'!$I$5:$I$34,"&lt;="&amp;$J$6),SUMIFS('LANÇAMENTOS'!$H$5:$H$34,'LANÇAMENTOS'!$B$5:$B$34,"Saída",'LANÇAMENTOS'!$C$5:$C$34,$A35,'LANÇAMENTOS'!$I$5:$I$34,"&lt;="&amp;TODAY(),'LANÇAMENTOS'!$I$5:$I$34,"&gt;="&amp;$J$5,'LANÇAMENTOS'!$I$5:$I$34,"&lt;="&amp;$J$6)),0))</f>
        <v/>
      </c>
    </row>
    <row r="36" ht="12" customHeight="1"/>
    <row r="37" ht="12" customHeight="1">
      <c r="A37" s="35" t="inlineStr">
        <is>
          <t>Canal</t>
        </is>
      </c>
      <c r="B37" s="35" t="inlineStr">
        <is>
          <t>Vendas do Mês</t>
        </is>
      </c>
    </row>
    <row r="38" ht="12" customHeight="1">
      <c r="A38" s="21" t="inlineStr">
        <is>
          <t>Balcão</t>
        </is>
      </c>
      <c r="B38" s="34">
        <f>IFERROR(SUMIFS('LANÇAMENTOS'!$H$5:$H$34,'LANÇAMENTOS'!$B$5:$B$34,"Entrada",'LANÇAMENTOS'!$D$5:$D$34,"Balcão",'LANÇAMENTOS'!$I$5:$I$34,"&gt;="&amp;$J$5,'LANÇAMENTOS'!$I$5:$I$34,"&lt;="&amp;$J$6),0)</f>
        <v/>
      </c>
    </row>
    <row r="39" ht="12" customHeight="1">
      <c r="A39" s="21" t="inlineStr">
        <is>
          <t>iFood</t>
        </is>
      </c>
      <c r="B39" s="34">
        <f>IFERROR(SUMIFS('LANÇAMENTOS'!$H$5:$H$34,'LANÇAMENTOS'!$B$5:$B$34,"Entrada",'LANÇAMENTOS'!$D$5:$D$34,"iFood",'LANÇAMENTOS'!$I$5:$I$34,"&gt;="&amp;$J$5,'LANÇAMENTOS'!$I$5:$I$34,"&lt;="&amp;$J$6),0)</f>
        <v/>
      </c>
    </row>
    <row r="40" ht="12" customHeight="1">
      <c r="A40" s="21" t="inlineStr">
        <is>
          <t>Uber Eats</t>
        </is>
      </c>
      <c r="B40" s="34">
        <f>IFERROR(SUMIFS('LANÇAMENTOS'!$H$5:$H$34,'LANÇAMENTOS'!$B$5:$B$34,"Entrada",'LANÇAMENTOS'!$D$5:$D$34,"Uber Eats",'LANÇAMENTOS'!$I$5:$I$34,"&gt;="&amp;$J$5,'LANÇAMENTOS'!$I$5:$I$34,"&lt;="&amp;$J$6),0)</f>
        <v/>
      </c>
    </row>
    <row r="41" ht="12" customHeight="1">
      <c r="A41" s="21" t="inlineStr">
        <is>
          <t>99Food</t>
        </is>
      </c>
      <c r="B41" s="34">
        <f>IFERROR(SUMIFS('LANÇAMENTOS'!$H$5:$H$34,'LANÇAMENTOS'!$B$5:$B$34,"Entrada",'LANÇAMENTOS'!$D$5:$D$34,"99Food",'LANÇAMENTOS'!$I$5:$I$34,"&gt;="&amp;$J$5,'LANÇAMENTOS'!$I$5:$I$34,"&lt;="&amp;$J$6),0)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 password="8235"/>
  <mergeCells count="2">
    <mergeCell ref="A3:H3"/>
    <mergeCell ref="A1:H1"/>
  </mergeCells>
  <conditionalFormatting sqref="B5">
    <cfRule type="expression" priority="1" dxfId="2">
      <formula>B5&lt;0</formula>
    </cfRule>
  </conditionalFormatting>
  <conditionalFormatting sqref="B8">
    <cfRule type="expression" priority="2" dxfId="2">
      <formula>B8&lt;0</formula>
    </cfRule>
  </conditionalFormatting>
  <hyperlinks>
    <hyperlink ref="B2" location="'INÍCIO'!A1"/>
    <hyperlink ref="C2" location="'CONFIG'!A1"/>
    <hyperlink ref="D2" location="'LANÇAMENTOS'!A1"/>
    <hyperlink ref="E2" location="'CONTAS A PAGAR-RECEBER'!A1"/>
    <hyperlink ref="F2" location="'FLUXO DE CAIXA'!A1"/>
    <hyperlink ref="G2" location="'RELATÓRIO'!A1"/>
    <hyperlink ref="H2" location="'DÚVIDAS'!A1"/>
  </hyperlink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</cols>
  <sheetData>
    <row r="1" ht="26" customHeight="1">
      <c r="A1" s="10" t="inlineStr">
        <is>
          <t>W.D.S. — RELATÓRIO GERENCIAL</t>
        </is>
      </c>
    </row>
    <row r="2" ht="16" customHeight="1">
      <c r="A2" s="9" t="inlineStr">
        <is>
          <t>Ir para:</t>
        </is>
      </c>
      <c r="B2" s="8" t="inlineStr">
        <is>
          <t>INÍCIO</t>
        </is>
      </c>
      <c r="C2" s="8" t="inlineStr">
        <is>
          <t>CONFIG</t>
        </is>
      </c>
      <c r="D2" s="8" t="inlineStr">
        <is>
          <t>LANÇAMENTOS</t>
        </is>
      </c>
      <c r="E2" s="8" t="inlineStr">
        <is>
          <t>CONTAS A PAGAR-RECEBER</t>
        </is>
      </c>
      <c r="F2" s="8" t="inlineStr">
        <is>
          <t>FLUXO DE CAIXA</t>
        </is>
      </c>
      <c r="G2" s="8" t="inlineStr">
        <is>
          <t>DASHBOARD</t>
        </is>
      </c>
      <c r="H2" s="8" t="inlineStr">
        <is>
          <t>DÚVIDAS</t>
        </is>
      </c>
    </row>
    <row r="3" ht="24" customHeight="1">
      <c r="A3" s="29" t="inlineStr">
        <is>
          <t>◆ VERSÃO DEMONSTRATIVA — W.D.S. — não utilizar para fins contábeis. Versão completa: 3.000 lançamentos, contas a pagar/receber e relatório sem marca d'água.</t>
        </is>
      </c>
    </row>
    <row r="4">
      <c r="A4" s="36">
        <f>'CONFIG'!$B$6</f>
        <v/>
      </c>
    </row>
    <row r="5">
      <c r="A5" s="9">
        <f>"Responsável: "&amp;'CONFIG'!$B$7</f>
        <v/>
      </c>
    </row>
    <row r="6">
      <c r="A6" s="9">
        <f>"Relatório gerado a partir do fluxo de caixa em: "&amp;TEXT(TODAY(),"DD/MM/YYYY")</f>
        <v/>
      </c>
    </row>
    <row r="8">
      <c r="A8" s="5" t="inlineStr">
        <is>
          <t>RESUMO DO MÊS ATUAL</t>
        </is>
      </c>
    </row>
    <row r="9">
      <c r="A9" s="21" t="inlineStr">
        <is>
          <t>Saldo Atual</t>
        </is>
      </c>
      <c r="B9" s="37">
        <f>'DASHBOARD'!$B$5</f>
        <v/>
      </c>
    </row>
    <row r="10">
      <c r="A10" s="21" t="inlineStr">
        <is>
          <t>Entradas do Mês</t>
        </is>
      </c>
      <c r="B10" s="37">
        <f>'DASHBOARD'!$B$6</f>
        <v/>
      </c>
    </row>
    <row r="11">
      <c r="A11" s="21" t="inlineStr">
        <is>
          <t>Saídas do Mês</t>
        </is>
      </c>
      <c r="B11" s="37">
        <f>'DASHBOARD'!$B$7</f>
        <v/>
      </c>
    </row>
    <row r="12">
      <c r="A12" s="21" t="inlineStr">
        <is>
          <t>Saldo Projetado Fim do Mês</t>
        </is>
      </c>
      <c r="B12" s="37">
        <f>'DASHBOARD'!$B$8</f>
        <v/>
      </c>
    </row>
    <row r="14">
      <c r="A14" s="5" t="inlineStr">
        <is>
          <t>CONTAS EM ABERTO (ATRASADAS E A VENCER EM 30 DIAS)</t>
        </is>
      </c>
    </row>
    <row r="15">
      <c r="A15" s="38" t="inlineStr">
        <is>
          <t>Descrição</t>
        </is>
      </c>
      <c r="B15" s="38" t="inlineStr">
        <is>
          <t>Vencimento</t>
        </is>
      </c>
      <c r="C15" s="38" t="inlineStr">
        <is>
          <t>Valor (R$)</t>
        </is>
      </c>
      <c r="D15" s="38" t="inlineStr">
        <is>
          <t>Status</t>
        </is>
      </c>
    </row>
    <row r="16">
      <c r="A16" s="21">
        <f>IFERROR(INDEX('CONTAS A PAGAR-RECEBER'!$A$5:$A$24,MATCH(SMALL('CONTAS A PAGAR-RECEBER'!$J$5:$J$24,1),'CONTAS A PAGAR-RECEBER'!$J$5:$J$24,0)),"")</f>
        <v/>
      </c>
      <c r="B16" s="28">
        <f>IFERROR(INDEX('CONTAS A PAGAR-RECEBER'!$D$5:$D$24,MATCH(SMALL('CONTAS A PAGAR-RECEBER'!$J$5:$J$24,1),'CONTAS A PAGAR-RECEBER'!$J$5:$J$24,0)),"")</f>
        <v/>
      </c>
      <c r="C16" s="27">
        <f>IFERROR(INDEX('CONTAS A PAGAR-RECEBER'!$E$5:$E$24,MATCH(SMALL('CONTAS A PAGAR-RECEBER'!$J$5:$J$24,1),'CONTAS A PAGAR-RECEBER'!$J$5:$J$24,0)),"")</f>
        <v/>
      </c>
      <c r="D16" s="21">
        <f>IFERROR(INDEX('CONTAS A PAGAR-RECEBER'!$G$5:$G$24,MATCH(SMALL('CONTAS A PAGAR-RECEBER'!$J$5:$J$24,1),'CONTAS A PAGAR-RECEBER'!$J$5:$J$24,0)),"")</f>
        <v/>
      </c>
    </row>
    <row r="17">
      <c r="A17" s="21">
        <f>IFERROR(INDEX('CONTAS A PAGAR-RECEBER'!$A$5:$A$24,MATCH(SMALL('CONTAS A PAGAR-RECEBER'!$J$5:$J$24,2),'CONTAS A PAGAR-RECEBER'!$J$5:$J$24,0)),"")</f>
        <v/>
      </c>
      <c r="B17" s="28">
        <f>IFERROR(INDEX('CONTAS A PAGAR-RECEBER'!$D$5:$D$24,MATCH(SMALL('CONTAS A PAGAR-RECEBER'!$J$5:$J$24,2),'CONTAS A PAGAR-RECEBER'!$J$5:$J$24,0)),"")</f>
        <v/>
      </c>
      <c r="C17" s="27">
        <f>IFERROR(INDEX('CONTAS A PAGAR-RECEBER'!$E$5:$E$24,MATCH(SMALL('CONTAS A PAGAR-RECEBER'!$J$5:$J$24,2),'CONTAS A PAGAR-RECEBER'!$J$5:$J$24,0)),"")</f>
        <v/>
      </c>
      <c r="D17" s="21">
        <f>IFERROR(INDEX('CONTAS A PAGAR-RECEBER'!$G$5:$G$24,MATCH(SMALL('CONTAS A PAGAR-RECEBER'!$J$5:$J$24,2),'CONTAS A PAGAR-RECEBER'!$J$5:$J$24,0)),"")</f>
        <v/>
      </c>
    </row>
    <row r="18">
      <c r="A18" s="21">
        <f>IFERROR(INDEX('CONTAS A PAGAR-RECEBER'!$A$5:$A$24,MATCH(SMALL('CONTAS A PAGAR-RECEBER'!$J$5:$J$24,3),'CONTAS A PAGAR-RECEBER'!$J$5:$J$24,0)),"")</f>
        <v/>
      </c>
      <c r="B18" s="28">
        <f>IFERROR(INDEX('CONTAS A PAGAR-RECEBER'!$D$5:$D$24,MATCH(SMALL('CONTAS A PAGAR-RECEBER'!$J$5:$J$24,3),'CONTAS A PAGAR-RECEBER'!$J$5:$J$24,0)),"")</f>
        <v/>
      </c>
      <c r="C18" s="27">
        <f>IFERROR(INDEX('CONTAS A PAGAR-RECEBER'!$E$5:$E$24,MATCH(SMALL('CONTAS A PAGAR-RECEBER'!$J$5:$J$24,3),'CONTAS A PAGAR-RECEBER'!$J$5:$J$24,0)),"")</f>
        <v/>
      </c>
      <c r="D18" s="21">
        <f>IFERROR(INDEX('CONTAS A PAGAR-RECEBER'!$G$5:$G$24,MATCH(SMALL('CONTAS A PAGAR-RECEBER'!$J$5:$J$24,3),'CONTAS A PAGAR-RECEBER'!$J$5:$J$24,0)),"")</f>
        <v/>
      </c>
    </row>
    <row r="19">
      <c r="A19" s="21">
        <f>IFERROR(INDEX('CONTAS A PAGAR-RECEBER'!$A$5:$A$24,MATCH(SMALL('CONTAS A PAGAR-RECEBER'!$J$5:$J$24,4),'CONTAS A PAGAR-RECEBER'!$J$5:$J$24,0)),"")</f>
        <v/>
      </c>
      <c r="B19" s="28">
        <f>IFERROR(INDEX('CONTAS A PAGAR-RECEBER'!$D$5:$D$24,MATCH(SMALL('CONTAS A PAGAR-RECEBER'!$J$5:$J$24,4),'CONTAS A PAGAR-RECEBER'!$J$5:$J$24,0)),"")</f>
        <v/>
      </c>
      <c r="C19" s="27">
        <f>IFERROR(INDEX('CONTAS A PAGAR-RECEBER'!$E$5:$E$24,MATCH(SMALL('CONTAS A PAGAR-RECEBER'!$J$5:$J$24,4),'CONTAS A PAGAR-RECEBER'!$J$5:$J$24,0)),"")</f>
        <v/>
      </c>
      <c r="D19" s="21">
        <f>IFERROR(INDEX('CONTAS A PAGAR-RECEBER'!$G$5:$G$24,MATCH(SMALL('CONTAS A PAGAR-RECEBER'!$J$5:$J$24,4),'CONTAS A PAGAR-RECEBER'!$J$5:$J$24,0)),"")</f>
        <v/>
      </c>
    </row>
    <row r="20">
      <c r="A20" s="21">
        <f>IFERROR(INDEX('CONTAS A PAGAR-RECEBER'!$A$5:$A$24,MATCH(SMALL('CONTAS A PAGAR-RECEBER'!$J$5:$J$24,5),'CONTAS A PAGAR-RECEBER'!$J$5:$J$24,0)),"")</f>
        <v/>
      </c>
      <c r="B20" s="28">
        <f>IFERROR(INDEX('CONTAS A PAGAR-RECEBER'!$D$5:$D$24,MATCH(SMALL('CONTAS A PAGAR-RECEBER'!$J$5:$J$24,5),'CONTAS A PAGAR-RECEBER'!$J$5:$J$24,0)),"")</f>
        <v/>
      </c>
      <c r="C20" s="27">
        <f>IFERROR(INDEX('CONTAS A PAGAR-RECEBER'!$E$5:$E$24,MATCH(SMALL('CONTAS A PAGAR-RECEBER'!$J$5:$J$24,5),'CONTAS A PAGAR-RECEBER'!$J$5:$J$24,0)),"")</f>
        <v/>
      </c>
      <c r="D20" s="21">
        <f>IFERROR(INDEX('CONTAS A PAGAR-RECEBER'!$G$5:$G$24,MATCH(SMALL('CONTAS A PAGAR-RECEBER'!$J$5:$J$24,5),'CONTAS A PAGAR-RECEBER'!$J$5:$J$24,0)),"")</f>
        <v/>
      </c>
    </row>
    <row r="21">
      <c r="A21" s="21">
        <f>IFERROR(INDEX('CONTAS A PAGAR-RECEBER'!$A$5:$A$24,MATCH(SMALL('CONTAS A PAGAR-RECEBER'!$J$5:$J$24,6),'CONTAS A PAGAR-RECEBER'!$J$5:$J$24,0)),"")</f>
        <v/>
      </c>
      <c r="B21" s="28">
        <f>IFERROR(INDEX('CONTAS A PAGAR-RECEBER'!$D$5:$D$24,MATCH(SMALL('CONTAS A PAGAR-RECEBER'!$J$5:$J$24,6),'CONTAS A PAGAR-RECEBER'!$J$5:$J$24,0)),"")</f>
        <v/>
      </c>
      <c r="C21" s="27">
        <f>IFERROR(INDEX('CONTAS A PAGAR-RECEBER'!$E$5:$E$24,MATCH(SMALL('CONTAS A PAGAR-RECEBER'!$J$5:$J$24,6),'CONTAS A PAGAR-RECEBER'!$J$5:$J$24,0)),"")</f>
        <v/>
      </c>
      <c r="D21" s="21">
        <f>IFERROR(INDEX('CONTAS A PAGAR-RECEBER'!$G$5:$G$24,MATCH(SMALL('CONTAS A PAGAR-RECEBER'!$J$5:$J$24,6),'CONTAS A PAGAR-RECEBER'!$J$5:$J$24,0)),"")</f>
        <v/>
      </c>
    </row>
    <row r="22">
      <c r="A22" s="21">
        <f>IFERROR(INDEX('CONTAS A PAGAR-RECEBER'!$A$5:$A$24,MATCH(SMALL('CONTAS A PAGAR-RECEBER'!$J$5:$J$24,7),'CONTAS A PAGAR-RECEBER'!$J$5:$J$24,0)),"")</f>
        <v/>
      </c>
      <c r="B22" s="28">
        <f>IFERROR(INDEX('CONTAS A PAGAR-RECEBER'!$D$5:$D$24,MATCH(SMALL('CONTAS A PAGAR-RECEBER'!$J$5:$J$24,7),'CONTAS A PAGAR-RECEBER'!$J$5:$J$24,0)),"")</f>
        <v/>
      </c>
      <c r="C22" s="27">
        <f>IFERROR(INDEX('CONTAS A PAGAR-RECEBER'!$E$5:$E$24,MATCH(SMALL('CONTAS A PAGAR-RECEBER'!$J$5:$J$24,7),'CONTAS A PAGAR-RECEBER'!$J$5:$J$24,0)),"")</f>
        <v/>
      </c>
      <c r="D22" s="21">
        <f>IFERROR(INDEX('CONTAS A PAGAR-RECEBER'!$G$5:$G$24,MATCH(SMALL('CONTAS A PAGAR-RECEBER'!$J$5:$J$24,7),'CONTAS A PAGAR-RECEBER'!$J$5:$J$24,0)),"")</f>
        <v/>
      </c>
    </row>
    <row r="23">
      <c r="A23" s="21">
        <f>IFERROR(INDEX('CONTAS A PAGAR-RECEBER'!$A$5:$A$24,MATCH(SMALL('CONTAS A PAGAR-RECEBER'!$J$5:$J$24,8),'CONTAS A PAGAR-RECEBER'!$J$5:$J$24,0)),"")</f>
        <v/>
      </c>
      <c r="B23" s="28">
        <f>IFERROR(INDEX('CONTAS A PAGAR-RECEBER'!$D$5:$D$24,MATCH(SMALL('CONTAS A PAGAR-RECEBER'!$J$5:$J$24,8),'CONTAS A PAGAR-RECEBER'!$J$5:$J$24,0)),"")</f>
        <v/>
      </c>
      <c r="C23" s="27">
        <f>IFERROR(INDEX('CONTAS A PAGAR-RECEBER'!$E$5:$E$24,MATCH(SMALL('CONTAS A PAGAR-RECEBER'!$J$5:$J$24,8),'CONTAS A PAGAR-RECEBER'!$J$5:$J$24,0)),"")</f>
        <v/>
      </c>
      <c r="D23" s="21">
        <f>IFERROR(INDEX('CONTAS A PAGAR-RECEBER'!$G$5:$G$24,MATCH(SMALL('CONTAS A PAGAR-RECEBER'!$J$5:$J$24,8),'CONTAS A PAGAR-RECEBER'!$J$5:$J$24,0)),"")</f>
        <v/>
      </c>
    </row>
    <row r="24">
      <c r="A24" s="21">
        <f>IFERROR(INDEX('CONTAS A PAGAR-RECEBER'!$A$5:$A$24,MATCH(SMALL('CONTAS A PAGAR-RECEBER'!$J$5:$J$24,9),'CONTAS A PAGAR-RECEBER'!$J$5:$J$24,0)),"")</f>
        <v/>
      </c>
      <c r="B24" s="28">
        <f>IFERROR(INDEX('CONTAS A PAGAR-RECEBER'!$D$5:$D$24,MATCH(SMALL('CONTAS A PAGAR-RECEBER'!$J$5:$J$24,9),'CONTAS A PAGAR-RECEBER'!$J$5:$J$24,0)),"")</f>
        <v/>
      </c>
      <c r="C24" s="27">
        <f>IFERROR(INDEX('CONTAS A PAGAR-RECEBER'!$E$5:$E$24,MATCH(SMALL('CONTAS A PAGAR-RECEBER'!$J$5:$J$24,9),'CONTAS A PAGAR-RECEBER'!$J$5:$J$24,0)),"")</f>
        <v/>
      </c>
      <c r="D24" s="21">
        <f>IFERROR(INDEX('CONTAS A PAGAR-RECEBER'!$G$5:$G$24,MATCH(SMALL('CONTAS A PAGAR-RECEBER'!$J$5:$J$24,9),'CONTAS A PAGAR-RECEBER'!$J$5:$J$24,0)),"")</f>
        <v/>
      </c>
    </row>
    <row r="25">
      <c r="A25" s="21">
        <f>IFERROR(INDEX('CONTAS A PAGAR-RECEBER'!$A$5:$A$24,MATCH(SMALL('CONTAS A PAGAR-RECEBER'!$J$5:$J$24,10),'CONTAS A PAGAR-RECEBER'!$J$5:$J$24,0)),"")</f>
        <v/>
      </c>
      <c r="B25" s="28">
        <f>IFERROR(INDEX('CONTAS A PAGAR-RECEBER'!$D$5:$D$24,MATCH(SMALL('CONTAS A PAGAR-RECEBER'!$J$5:$J$24,10),'CONTAS A PAGAR-RECEBER'!$J$5:$J$24,0)),"")</f>
        <v/>
      </c>
      <c r="C25" s="27">
        <f>IFERROR(INDEX('CONTAS A PAGAR-RECEBER'!$E$5:$E$24,MATCH(SMALL('CONTAS A PAGAR-RECEBER'!$J$5:$J$24,10),'CONTAS A PAGAR-RECEBER'!$J$5:$J$24,0)),"")</f>
        <v/>
      </c>
      <c r="D25" s="21">
        <f>IFERROR(INDEX('CONTAS A PAGAR-RECEBER'!$G$5:$G$24,MATCH(SMALL('CONTAS A PAGAR-RECEBER'!$J$5:$J$24,10),'CONTAS A PAGAR-RECEBER'!$J$5:$J$24,0)),"")</f>
        <v/>
      </c>
    </row>
    <row r="26">
      <c r="A26" s="21">
        <f>IFERROR(INDEX('CONTAS A PAGAR-RECEBER'!$A$5:$A$24,MATCH(SMALL('CONTAS A PAGAR-RECEBER'!$J$5:$J$24,11),'CONTAS A PAGAR-RECEBER'!$J$5:$J$24,0)),"")</f>
        <v/>
      </c>
      <c r="B26" s="28">
        <f>IFERROR(INDEX('CONTAS A PAGAR-RECEBER'!$D$5:$D$24,MATCH(SMALL('CONTAS A PAGAR-RECEBER'!$J$5:$J$24,11),'CONTAS A PAGAR-RECEBER'!$J$5:$J$24,0)),"")</f>
        <v/>
      </c>
      <c r="C26" s="27">
        <f>IFERROR(INDEX('CONTAS A PAGAR-RECEBER'!$E$5:$E$24,MATCH(SMALL('CONTAS A PAGAR-RECEBER'!$J$5:$J$24,11),'CONTAS A PAGAR-RECEBER'!$J$5:$J$24,0)),"")</f>
        <v/>
      </c>
      <c r="D26" s="21">
        <f>IFERROR(INDEX('CONTAS A PAGAR-RECEBER'!$G$5:$G$24,MATCH(SMALL('CONTAS A PAGAR-RECEBER'!$J$5:$J$24,11),'CONTAS A PAGAR-RECEBER'!$J$5:$J$24,0)),"")</f>
        <v/>
      </c>
    </row>
    <row r="27">
      <c r="A27" s="21">
        <f>IFERROR(INDEX('CONTAS A PAGAR-RECEBER'!$A$5:$A$24,MATCH(SMALL('CONTAS A PAGAR-RECEBER'!$J$5:$J$24,12),'CONTAS A PAGAR-RECEBER'!$J$5:$J$24,0)),"")</f>
        <v/>
      </c>
      <c r="B27" s="28">
        <f>IFERROR(INDEX('CONTAS A PAGAR-RECEBER'!$D$5:$D$24,MATCH(SMALL('CONTAS A PAGAR-RECEBER'!$J$5:$J$24,12),'CONTAS A PAGAR-RECEBER'!$J$5:$J$24,0)),"")</f>
        <v/>
      </c>
      <c r="C27" s="27">
        <f>IFERROR(INDEX('CONTAS A PAGAR-RECEBER'!$E$5:$E$24,MATCH(SMALL('CONTAS A PAGAR-RECEBER'!$J$5:$J$24,12),'CONTAS A PAGAR-RECEBER'!$J$5:$J$24,0)),"")</f>
        <v/>
      </c>
      <c r="D27" s="21">
        <f>IFERROR(INDEX('CONTAS A PAGAR-RECEBER'!$G$5:$G$24,MATCH(SMALL('CONTAS A PAGAR-RECEBER'!$J$5:$J$24,12),'CONTAS A PAGAR-RECEBER'!$J$5:$J$24,0)),"")</f>
        <v/>
      </c>
    </row>
    <row r="28">
      <c r="A28" s="21">
        <f>IFERROR(INDEX('CONTAS A PAGAR-RECEBER'!$A$5:$A$24,MATCH(SMALL('CONTAS A PAGAR-RECEBER'!$J$5:$J$24,13),'CONTAS A PAGAR-RECEBER'!$J$5:$J$24,0)),"")</f>
        <v/>
      </c>
      <c r="B28" s="28">
        <f>IFERROR(INDEX('CONTAS A PAGAR-RECEBER'!$D$5:$D$24,MATCH(SMALL('CONTAS A PAGAR-RECEBER'!$J$5:$J$24,13),'CONTAS A PAGAR-RECEBER'!$J$5:$J$24,0)),"")</f>
        <v/>
      </c>
      <c r="C28" s="27">
        <f>IFERROR(INDEX('CONTAS A PAGAR-RECEBER'!$E$5:$E$24,MATCH(SMALL('CONTAS A PAGAR-RECEBER'!$J$5:$J$24,13),'CONTAS A PAGAR-RECEBER'!$J$5:$J$24,0)),"")</f>
        <v/>
      </c>
      <c r="D28" s="21">
        <f>IFERROR(INDEX('CONTAS A PAGAR-RECEBER'!$G$5:$G$24,MATCH(SMALL('CONTAS A PAGAR-RECEBER'!$J$5:$J$24,13),'CONTAS A PAGAR-RECEBER'!$J$5:$J$24,0)),"")</f>
        <v/>
      </c>
    </row>
    <row r="29">
      <c r="A29" s="21">
        <f>IFERROR(INDEX('CONTAS A PAGAR-RECEBER'!$A$5:$A$24,MATCH(SMALL('CONTAS A PAGAR-RECEBER'!$J$5:$J$24,14),'CONTAS A PAGAR-RECEBER'!$J$5:$J$24,0)),"")</f>
        <v/>
      </c>
      <c r="B29" s="28">
        <f>IFERROR(INDEX('CONTAS A PAGAR-RECEBER'!$D$5:$D$24,MATCH(SMALL('CONTAS A PAGAR-RECEBER'!$J$5:$J$24,14),'CONTAS A PAGAR-RECEBER'!$J$5:$J$24,0)),"")</f>
        <v/>
      </c>
      <c r="C29" s="27">
        <f>IFERROR(INDEX('CONTAS A PAGAR-RECEBER'!$E$5:$E$24,MATCH(SMALL('CONTAS A PAGAR-RECEBER'!$J$5:$J$24,14),'CONTAS A PAGAR-RECEBER'!$J$5:$J$24,0)),"")</f>
        <v/>
      </c>
      <c r="D29" s="21">
        <f>IFERROR(INDEX('CONTAS A PAGAR-RECEBER'!$G$5:$G$24,MATCH(SMALL('CONTAS A PAGAR-RECEBER'!$J$5:$J$24,14),'CONTAS A PAGAR-RECEBER'!$J$5:$J$24,0)),"")</f>
        <v/>
      </c>
    </row>
    <row r="30">
      <c r="A30" s="21">
        <f>IFERROR(INDEX('CONTAS A PAGAR-RECEBER'!$A$5:$A$24,MATCH(SMALL('CONTAS A PAGAR-RECEBER'!$J$5:$J$24,15),'CONTAS A PAGAR-RECEBER'!$J$5:$J$24,0)),"")</f>
        <v/>
      </c>
      <c r="B30" s="28">
        <f>IFERROR(INDEX('CONTAS A PAGAR-RECEBER'!$D$5:$D$24,MATCH(SMALL('CONTAS A PAGAR-RECEBER'!$J$5:$J$24,15),'CONTAS A PAGAR-RECEBER'!$J$5:$J$24,0)),"")</f>
        <v/>
      </c>
      <c r="C30" s="27">
        <f>IFERROR(INDEX('CONTAS A PAGAR-RECEBER'!$E$5:$E$24,MATCH(SMALL('CONTAS A PAGAR-RECEBER'!$J$5:$J$24,15),'CONTAS A PAGAR-RECEBER'!$J$5:$J$24,0)),"")</f>
        <v/>
      </c>
      <c r="D30" s="21">
        <f>IFERROR(INDEX('CONTAS A PAGAR-RECEBER'!$G$5:$G$24,MATCH(SMALL('CONTAS A PAGAR-RECEBER'!$J$5:$J$24,15),'CONTAS A PAGAR-RECEBER'!$J$5:$J$24,0)),"")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 password="8235"/>
  <mergeCells count="7">
    <mergeCell ref="A1:D1"/>
    <mergeCell ref="A5:D5"/>
    <mergeCell ref="A8:D8"/>
    <mergeCell ref="A6:D6"/>
    <mergeCell ref="A4:D4"/>
    <mergeCell ref="A3:D3"/>
    <mergeCell ref="A14:D14"/>
  </mergeCells>
  <hyperlinks>
    <hyperlink ref="B2" location="'INÍCIO'!A1"/>
    <hyperlink ref="C2" location="'CONFIG'!A1"/>
    <hyperlink ref="D2" location="'LANÇAMENTOS'!A1"/>
    <hyperlink ref="E2" location="'CONTAS A PAGAR-RECEBER'!A1"/>
    <hyperlink ref="F2" location="'FLUXO DE CAIXA'!A1"/>
    <hyperlink ref="G2" location="'DASHBOARD'!A1"/>
    <hyperlink ref="H2" location="'DÚVIDAS'!A1"/>
  </hyperlinks>
  <pageMargins left="0.5" right="0.5" top="0.6" bottom="0.6" header="0.5" footer="0.5"/>
  <pageSetup orientation="portrait" fitToHeight="1" fitToWidth="1"/>
  <headerFooter>
    <oddHeader>&amp;C&amp;12 &amp;KC00000VERSÃO DEMONSTRATIVA — W.D.S.</oddHeader>
    <oddFooter>&amp;C&amp;9 &amp;KC00000VERSÃO DEMONSTRATIVA — W.D.S. — não utilizar para fins contábeis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1" ht="16" customHeight="1">
      <c r="A1" s="9" t="inlineStr">
        <is>
          <t>Ir para:</t>
        </is>
      </c>
      <c r="B1" s="8" t="inlineStr">
        <is>
          <t>INÍCIO</t>
        </is>
      </c>
      <c r="C1" s="8" t="inlineStr">
        <is>
          <t>CONFIG</t>
        </is>
      </c>
      <c r="D1" s="8" t="inlineStr">
        <is>
          <t>LANÇAMENTOS</t>
        </is>
      </c>
      <c r="E1" s="8" t="inlineStr">
        <is>
          <t>CONTAS A PAGAR-RECEBER</t>
        </is>
      </c>
      <c r="F1" s="8" t="inlineStr">
        <is>
          <t>FLUXO DE CAIXA</t>
        </is>
      </c>
      <c r="G1" s="8" t="inlineStr">
        <is>
          <t>DASHBOARD</t>
        </is>
      </c>
      <c r="H1" s="8" t="inlineStr">
        <is>
          <t>RELATÓRIO</t>
        </is>
      </c>
    </row>
    <row r="3" ht="26" customHeight="1">
      <c r="B3" s="39" t="inlineStr">
        <is>
          <t>DÚVIDAS FREQUENTES</t>
        </is>
      </c>
    </row>
    <row r="4" ht="20" customHeight="1">
      <c r="B4" s="40" t="inlineStr">
        <is>
          <t>Como lanço uma venda?</t>
        </is>
      </c>
    </row>
    <row r="5" ht="42" customHeight="1">
      <c r="B5" s="3" t="inlineStr">
        <is>
          <t>Na aba LANÇAMENTOS, preencha Data, Tipo = Entrada, Categoria, Canal, Forma de Pagamento e Valor Bruto. Taxa, Valor Líquido, Data Prevista de Caixa e Status são calculados automaticamente.</t>
        </is>
      </c>
    </row>
    <row r="6" ht="20" customHeight="1">
      <c r="B6" s="40" t="inlineStr">
        <is>
          <t>Como configuro minhas taxas?</t>
        </is>
      </c>
    </row>
    <row r="7" ht="42" customHeight="1">
      <c r="B7" s="3" t="inlineStr">
        <is>
          <t>Na aba CONFIG, bloco TAXAS E PRAZOS. Preencha as taxas de cartão e de cada app de delivery que você usa antes de começar a lançar vendas.</t>
        </is>
      </c>
    </row>
    <row r="8" ht="20" customHeight="1">
      <c r="B8" s="40" t="inlineStr">
        <is>
          <t>Por que o saldo previsto é diferente do realizado?</t>
        </is>
      </c>
    </row>
    <row r="9" ht="42" customHeight="1">
      <c r="B9" s="3" t="inlineStr">
        <is>
          <t>Previsto conta tudo que está programado para entrar ou sair, tenha ou não acontecido. Realizado depende do Modo de Apuração: em "Data Prevista", conta o que já venceu; em "Conferencia", conta só o que você marcou como conferido.</t>
        </is>
      </c>
    </row>
    <row r="10" ht="20" customHeight="1">
      <c r="B10" s="40" t="inlineStr">
        <is>
          <t>Qual a diferença entre "Previsto", "A Confirmar" e "Realizado"?</t>
        </is>
      </c>
    </row>
    <row r="11" ht="42" customHeight="1">
      <c r="B11" s="3" t="inlineStr">
        <is>
          <t>Previsto: a data prevista de caixa ainda não chegou. A Confirmar: a data já passou, mas você ainda não marcou Conferido = Sim. Realizado: você conferiu no extrato e marcou Conferido = Sim.</t>
        </is>
      </c>
    </row>
    <row r="12" ht="20" customHeight="1">
      <c r="B12" s="40" t="inlineStr">
        <is>
          <t>O que muda entre os modos "Data Prevista" e "Conferencia"?</t>
        </is>
      </c>
    </row>
    <row r="13" ht="42" customHeight="1">
      <c r="B13" s="3" t="inlineStr">
        <is>
          <t>"Data Prevista" assume que tudo que venceu entrou — funciona sem preencher nada além do lançamento. "Conferencia" só conta o que você conferiu no extrato e marcou — mais rigoroso, exige disciplina de conciliação diária.</t>
        </is>
      </c>
    </row>
    <row r="14" ht="20" customHeight="1">
      <c r="B14" s="40" t="inlineStr">
        <is>
          <t>Por que preciso preencher o Saldo Inicial?</t>
        </is>
      </c>
    </row>
    <row r="15" ht="42" customHeight="1">
      <c r="B15" s="3" t="inlineStr">
        <is>
          <t>Sem ele, a planilha calcula corretamente o movimento (quanto entrou e saiu), mas não sabe quanto dinheiro você já tinha em caixa ou banco antes de começar a usar a planilha — o Saldo Acumulado ficaria sempre incompleto.</t>
        </is>
      </c>
    </row>
    <row r="16" ht="20" customHeight="1">
      <c r="B16" s="40" t="inlineStr">
        <is>
          <t>Até quantos lançamentos a planilha aguenta?</t>
        </is>
      </c>
    </row>
    <row r="17" ht="42" customHeight="1">
      <c r="B17" s="3" t="inlineStr">
        <is>
          <t>3.000 linhas em LANÇAMENTOS (cerca de um ano de operação de um negócio de médio porte) e 500 linhas em CONTAS A PAGAR/RECEBER.</t>
        </is>
      </c>
    </row>
    <row r="18" ht="20" customHeight="1">
      <c r="B18" s="40" t="inlineStr">
        <is>
          <t>O produto integra automaticamente com iFood, Uber Eats ou 99Food?</t>
        </is>
      </c>
    </row>
    <row r="19" ht="42" customHeight="1">
      <c r="B19" s="3" t="inlineStr">
        <is>
          <t>Não. Não há integração automática com nenhum app de delivery. Você lança manualmente o total do dia (ou de cada venda) na aba LANÇAMENTOS.</t>
        </is>
      </c>
    </row>
    <row r="20" ht="20" customHeight="1">
      <c r="B20" s="40" t="inlineStr">
        <is>
          <t>Como a planilha trata uma venda parcelada no cartão de crédito?</t>
        </is>
      </c>
    </row>
    <row r="21" ht="42" customHeight="1">
      <c r="B21" s="3" t="inlineStr">
        <is>
          <t>Para manter a planilha simples e sem risco de erro de fórmula, uma venda parcelada é lançada como um único recebível estimado, na data prevista configurada em CONFIG — não dividida automaticamente em cada parcela mensal. Se isso for relevante para o seu fluxo de caixa, use a coluna Observação para registrar o parcelamento e acompanhe manualmente.</t>
        </is>
      </c>
    </row>
    <row r="22" ht="20" customHeight="1">
      <c r="B22" s="40" t="inlineStr">
        <is>
          <t>Posso usar para mais de um negócio?</t>
        </is>
      </c>
    </row>
    <row r="23" ht="42" customHeight="1">
      <c r="B23" s="3" t="inlineStr">
        <is>
          <t>Use uma cópia separada do arquivo para cada negócio — a planilha não separa lançamentos de negócios diferentes dentro do mesmo arquivo.</t>
        </is>
      </c>
    </row>
    <row r="24" ht="20" customHeight="1">
      <c r="B24" s="40" t="inlineStr">
        <is>
          <t>A planilha depende de algum outro produto W.D.S.?</t>
        </is>
      </c>
    </row>
    <row r="25" ht="42" customHeight="1">
      <c r="B25" s="3" t="inlineStr">
        <is>
          <t>Não. O WDS Fluxo de Caixa funciona de forma independente, inclusive da Ficha Técnica de Cardápio — não é necessário ter nenhum outro produto W.D.S. para usá-lo.</t>
        </is>
      </c>
    </row>
    <row r="26" ht="20" customHeight="1">
      <c r="B26" s="40" t="inlineStr">
        <is>
          <t>A planilha faz conciliação bancária automática ou emite nota fiscal?</t>
        </is>
      </c>
    </row>
    <row r="27" ht="42" customHeight="1">
      <c r="B27" s="3" t="inlineStr">
        <is>
          <t>Não. Não há conciliação bancária automática (isso exigiria integração via Open Finance) nem emissão de nota fiscal. A coluna Conferido no Extrato em LANÇAMENTOS é uma conferência manual.</t>
        </is>
      </c>
    </row>
    <row r="28" ht="20" customHeight="1">
      <c r="B28" s="40" t="inlineStr">
        <is>
          <t>Vários funcionários podem usar a planilha ao mesmo tempo?</t>
        </is>
      </c>
    </row>
    <row r="29" ht="42" customHeight="1">
      <c r="B29" s="3" t="inlineStr">
        <is>
          <t>Não. A planilha não foi desenhada para uso simultâneo por múltiplos usuários em tempo real.</t>
        </is>
      </c>
    </row>
    <row r="30" ht="20" customHeight="1">
      <c r="B30" s="40" t="inlineStr">
        <is>
          <t>Como exporto o relatório em PDF?</t>
        </is>
      </c>
    </row>
    <row r="31" ht="42" customHeight="1">
      <c r="B31" s="3" t="inlineStr">
        <is>
          <t>Na aba RELATÓRIO, use Arquivo &gt; Exportar &gt; Criar PDF/XPS (ou Imprimir &gt; Salvar como PDF). A página já está configurada para caber em uma folha A4.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235"/>
  <hyperlinks>
    <hyperlink ref="B1" location="'INÍCIO'!A1"/>
    <hyperlink ref="C1" location="'CONFIG'!A1"/>
    <hyperlink ref="D1" location="'LANÇAMENTOS'!A1"/>
    <hyperlink ref="E1" location="'CONTAS A PAGAR-RECEBER'!A1"/>
    <hyperlink ref="F1" location="'FLUXO DE CAIXA'!A1"/>
    <hyperlink ref="G1" location="'DASHBOARD'!A1"/>
    <hyperlink ref="H1" location="'RELATÓRIO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2026-08-22T11:12:27Z</dcterms:created>
  <dcterms:modified xmlns:dcterms="http://purl.org/dc/terms/" xmlns:xsi="http://www.w3.org/2001/XMLSchema-instance" xsi:type="dcterms:W3CDTF">2026-08-22T11:12:27Z</dcterms:modified>
</cp:coreProperties>
</file>